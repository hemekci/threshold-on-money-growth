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ekci/threshold-on-money-growth/data/raw/"/>
    </mc:Choice>
  </mc:AlternateContent>
  <xr:revisionPtr revIDLastSave="0" documentId="13_ncr:1_{E56AB392-59FD-7B4A-8BA8-F109A9DA7C74}" xr6:coauthVersionLast="47" xr6:coauthVersionMax="47" xr10:uidLastSave="{00000000-0000-0000-0000-000000000000}"/>
  <bookViews>
    <workbookView xWindow="0" yWindow="680" windowWidth="23260" windowHeight="12460" xr2:uid="{801B1466-3FD4-6A48-ADF6-EC816C1ED937}"/>
  </bookViews>
  <sheets>
    <sheet name="ArticleData" sheetId="3" r:id="rId1"/>
    <sheet name="PercentageChange" sheetId="2" r:id="rId2"/>
    <sheet name="Raw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6" i="3" l="1"/>
  <c r="AY26" i="3"/>
  <c r="AV26" i="3"/>
  <c r="AS26" i="3"/>
  <c r="AP26" i="3"/>
  <c r="AM26" i="3"/>
  <c r="AJ26" i="3"/>
  <c r="AG26" i="3"/>
  <c r="AD26" i="3"/>
  <c r="AA26" i="3"/>
  <c r="X26" i="3"/>
  <c r="U26" i="3"/>
  <c r="R26" i="3"/>
  <c r="O26" i="3"/>
  <c r="L26" i="3"/>
  <c r="I26" i="3"/>
  <c r="F26" i="3"/>
  <c r="C26" i="3"/>
  <c r="BB25" i="3"/>
  <c r="AY25" i="3"/>
  <c r="AV25" i="3"/>
  <c r="AS25" i="3"/>
  <c r="AP25" i="3"/>
  <c r="AM25" i="3"/>
  <c r="AJ25" i="3"/>
  <c r="AG25" i="3"/>
  <c r="AD25" i="3"/>
  <c r="AA25" i="3"/>
  <c r="X25" i="3"/>
  <c r="U25" i="3"/>
  <c r="R25" i="3"/>
  <c r="O25" i="3"/>
  <c r="L25" i="3"/>
  <c r="I25" i="3"/>
  <c r="F25" i="3"/>
  <c r="C25" i="3"/>
  <c r="BB24" i="3"/>
  <c r="AY24" i="3"/>
  <c r="AV24" i="3"/>
  <c r="AS24" i="3"/>
  <c r="AP24" i="3"/>
  <c r="AM24" i="3"/>
  <c r="AJ24" i="3"/>
  <c r="AG24" i="3"/>
  <c r="AD24" i="3"/>
  <c r="AA24" i="3"/>
  <c r="X24" i="3"/>
  <c r="U24" i="3"/>
  <c r="R24" i="3"/>
  <c r="O24" i="3"/>
  <c r="L24" i="3"/>
  <c r="I24" i="3"/>
  <c r="F24" i="3"/>
  <c r="C24" i="3"/>
  <c r="BB23" i="3"/>
  <c r="AY23" i="3"/>
  <c r="AV23" i="3"/>
  <c r="AS23" i="3"/>
  <c r="AP23" i="3"/>
  <c r="AM23" i="3"/>
  <c r="AJ23" i="3"/>
  <c r="AG23" i="3"/>
  <c r="AD23" i="3"/>
  <c r="AA23" i="3"/>
  <c r="X23" i="3"/>
  <c r="U23" i="3"/>
  <c r="R23" i="3"/>
  <c r="O23" i="3"/>
  <c r="L23" i="3"/>
  <c r="I23" i="3"/>
  <c r="F23" i="3"/>
  <c r="C23" i="3"/>
  <c r="BB22" i="3"/>
  <c r="AY22" i="3"/>
  <c r="AV22" i="3"/>
  <c r="AS22" i="3"/>
  <c r="AP22" i="3"/>
  <c r="AM22" i="3"/>
  <c r="AJ22" i="3"/>
  <c r="AG22" i="3"/>
  <c r="AD22" i="3"/>
  <c r="AA22" i="3"/>
  <c r="X22" i="3"/>
  <c r="U22" i="3"/>
  <c r="R22" i="3"/>
  <c r="O22" i="3"/>
  <c r="L22" i="3"/>
  <c r="I22" i="3"/>
  <c r="F22" i="3"/>
  <c r="C22" i="3"/>
  <c r="BB21" i="3"/>
  <c r="AY21" i="3"/>
  <c r="AV21" i="3"/>
  <c r="AS21" i="3"/>
  <c r="AP21" i="3"/>
  <c r="AM21" i="3"/>
  <c r="AJ21" i="3"/>
  <c r="AG21" i="3"/>
  <c r="AD21" i="3"/>
  <c r="AA21" i="3"/>
  <c r="X21" i="3"/>
  <c r="U21" i="3"/>
  <c r="R21" i="3"/>
  <c r="O21" i="3"/>
  <c r="L21" i="3"/>
  <c r="I21" i="3"/>
  <c r="F21" i="3"/>
  <c r="C21" i="3"/>
  <c r="BB20" i="3"/>
  <c r="AY20" i="3"/>
  <c r="AV20" i="3"/>
  <c r="AS20" i="3"/>
  <c r="AP20" i="3"/>
  <c r="AM20" i="3"/>
  <c r="AJ20" i="3"/>
  <c r="AG20" i="3"/>
  <c r="AD20" i="3"/>
  <c r="AA20" i="3"/>
  <c r="X20" i="3"/>
  <c r="U20" i="3"/>
  <c r="R20" i="3"/>
  <c r="O20" i="3"/>
  <c r="L20" i="3"/>
  <c r="I20" i="3"/>
  <c r="F20" i="3"/>
  <c r="C20" i="3"/>
  <c r="BB19" i="3"/>
  <c r="AY19" i="3"/>
  <c r="AV19" i="3"/>
  <c r="AS19" i="3"/>
  <c r="AP19" i="3"/>
  <c r="AM19" i="3"/>
  <c r="AJ19" i="3"/>
  <c r="AG19" i="3"/>
  <c r="AD19" i="3"/>
  <c r="AA19" i="3"/>
  <c r="X19" i="3"/>
  <c r="U19" i="3"/>
  <c r="R19" i="3"/>
  <c r="O19" i="3"/>
  <c r="L19" i="3"/>
  <c r="I19" i="3"/>
  <c r="F19" i="3"/>
  <c r="C19" i="3"/>
  <c r="BB18" i="3"/>
  <c r="AY18" i="3"/>
  <c r="AV18" i="3"/>
  <c r="AS18" i="3"/>
  <c r="AP18" i="3"/>
  <c r="AM18" i="3"/>
  <c r="AJ18" i="3"/>
  <c r="AG18" i="3"/>
  <c r="AD18" i="3"/>
  <c r="AA18" i="3"/>
  <c r="X18" i="3"/>
  <c r="U18" i="3"/>
  <c r="R18" i="3"/>
  <c r="O18" i="3"/>
  <c r="L18" i="3"/>
  <c r="I18" i="3"/>
  <c r="F18" i="3"/>
  <c r="C18" i="3"/>
  <c r="BB17" i="3"/>
  <c r="AY17" i="3"/>
  <c r="AV17" i="3"/>
  <c r="AS17" i="3"/>
  <c r="AP17" i="3"/>
  <c r="AM17" i="3"/>
  <c r="AJ17" i="3"/>
  <c r="AG17" i="3"/>
  <c r="AD17" i="3"/>
  <c r="AA17" i="3"/>
  <c r="X17" i="3"/>
  <c r="U17" i="3"/>
  <c r="R17" i="3"/>
  <c r="O17" i="3"/>
  <c r="L17" i="3"/>
  <c r="I17" i="3"/>
  <c r="F17" i="3"/>
  <c r="C17" i="3"/>
  <c r="BB16" i="3"/>
  <c r="AY16" i="3"/>
  <c r="AV16" i="3"/>
  <c r="AS16" i="3"/>
  <c r="AP16" i="3"/>
  <c r="AM16" i="3"/>
  <c r="AJ16" i="3"/>
  <c r="AG16" i="3"/>
  <c r="AD16" i="3"/>
  <c r="AA16" i="3"/>
  <c r="X16" i="3"/>
  <c r="U16" i="3"/>
  <c r="R16" i="3"/>
  <c r="O16" i="3"/>
  <c r="L16" i="3"/>
  <c r="I16" i="3"/>
  <c r="F16" i="3"/>
  <c r="C16" i="3"/>
  <c r="BB15" i="3"/>
  <c r="AY15" i="3"/>
  <c r="AV15" i="3"/>
  <c r="AS15" i="3"/>
  <c r="AP15" i="3"/>
  <c r="AM15" i="3"/>
  <c r="AJ15" i="3"/>
  <c r="AG15" i="3"/>
  <c r="AD15" i="3"/>
  <c r="AA15" i="3"/>
  <c r="X15" i="3"/>
  <c r="U15" i="3"/>
  <c r="R15" i="3"/>
  <c r="O15" i="3"/>
  <c r="L15" i="3"/>
  <c r="I15" i="3"/>
  <c r="F15" i="3"/>
  <c r="C15" i="3"/>
  <c r="BB14" i="3"/>
  <c r="AY14" i="3"/>
  <c r="AV14" i="3"/>
  <c r="AS14" i="3"/>
  <c r="AP14" i="3"/>
  <c r="AM14" i="3"/>
  <c r="AJ14" i="3"/>
  <c r="AG14" i="3"/>
  <c r="AD14" i="3"/>
  <c r="AA14" i="3"/>
  <c r="X14" i="3"/>
  <c r="U14" i="3"/>
  <c r="R14" i="3"/>
  <c r="O14" i="3"/>
  <c r="L14" i="3"/>
  <c r="I14" i="3"/>
  <c r="F14" i="3"/>
  <c r="C14" i="3"/>
  <c r="BB13" i="3"/>
  <c r="AY13" i="3"/>
  <c r="AV13" i="3"/>
  <c r="AS13" i="3"/>
  <c r="AP13" i="3"/>
  <c r="AM13" i="3"/>
  <c r="AJ13" i="3"/>
  <c r="AG13" i="3"/>
  <c r="AD13" i="3"/>
  <c r="AA13" i="3"/>
  <c r="X13" i="3"/>
  <c r="U13" i="3"/>
  <c r="R13" i="3"/>
  <c r="O13" i="3"/>
  <c r="L13" i="3"/>
  <c r="I13" i="3"/>
  <c r="F13" i="3"/>
  <c r="C13" i="3"/>
  <c r="BB12" i="3"/>
  <c r="AY12" i="3"/>
  <c r="AV12" i="3"/>
  <c r="AS12" i="3"/>
  <c r="AP12" i="3"/>
  <c r="AM12" i="3"/>
  <c r="AJ12" i="3"/>
  <c r="AG12" i="3"/>
  <c r="AD12" i="3"/>
  <c r="AA12" i="3"/>
  <c r="X12" i="3"/>
  <c r="U12" i="3"/>
  <c r="R12" i="3"/>
  <c r="O12" i="3"/>
  <c r="L12" i="3"/>
  <c r="I12" i="3"/>
  <c r="F12" i="3"/>
  <c r="C12" i="3"/>
  <c r="BB11" i="3"/>
  <c r="AY11" i="3"/>
  <c r="AV11" i="3"/>
  <c r="AS11" i="3"/>
  <c r="AP11" i="3"/>
  <c r="AM11" i="3"/>
  <c r="AJ11" i="3"/>
  <c r="AG11" i="3"/>
  <c r="AD11" i="3"/>
  <c r="AA11" i="3"/>
  <c r="X11" i="3"/>
  <c r="U11" i="3"/>
  <c r="R11" i="3"/>
  <c r="O11" i="3"/>
  <c r="L11" i="3"/>
  <c r="I11" i="3"/>
  <c r="F11" i="3"/>
  <c r="C11" i="3"/>
  <c r="BB10" i="3"/>
  <c r="AY10" i="3"/>
  <c r="AV10" i="3"/>
  <c r="AS10" i="3"/>
  <c r="AP10" i="3"/>
  <c r="AM10" i="3"/>
  <c r="AJ10" i="3"/>
  <c r="AG10" i="3"/>
  <c r="AD10" i="3"/>
  <c r="AA10" i="3"/>
  <c r="X10" i="3"/>
  <c r="U10" i="3"/>
  <c r="R10" i="3"/>
  <c r="O10" i="3"/>
  <c r="L10" i="3"/>
  <c r="I10" i="3"/>
  <c r="F10" i="3"/>
  <c r="C10" i="3"/>
  <c r="BB9" i="3"/>
  <c r="AY9" i="3"/>
  <c r="AV9" i="3"/>
  <c r="AS9" i="3"/>
  <c r="AP9" i="3"/>
  <c r="AM9" i="3"/>
  <c r="AJ9" i="3"/>
  <c r="AG9" i="3"/>
  <c r="AD9" i="3"/>
  <c r="AA9" i="3"/>
  <c r="X9" i="3"/>
  <c r="U9" i="3"/>
  <c r="R9" i="3"/>
  <c r="O9" i="3"/>
  <c r="L9" i="3"/>
  <c r="I9" i="3"/>
  <c r="F9" i="3"/>
  <c r="C9" i="3"/>
  <c r="BB8" i="3"/>
  <c r="AY8" i="3"/>
  <c r="AV8" i="3"/>
  <c r="AS8" i="3"/>
  <c r="AP8" i="3"/>
  <c r="AM8" i="3"/>
  <c r="AJ8" i="3"/>
  <c r="AG8" i="3"/>
  <c r="AD8" i="3"/>
  <c r="AA8" i="3"/>
  <c r="X8" i="3"/>
  <c r="U8" i="3"/>
  <c r="R8" i="3"/>
  <c r="O8" i="3"/>
  <c r="L8" i="3"/>
  <c r="I8" i="3"/>
  <c r="F8" i="3"/>
  <c r="C8" i="3"/>
  <c r="BB7" i="3"/>
  <c r="AY7" i="3"/>
  <c r="AV7" i="3"/>
  <c r="AS7" i="3"/>
  <c r="AP7" i="3"/>
  <c r="AM7" i="3"/>
  <c r="AJ7" i="3"/>
  <c r="AG7" i="3"/>
  <c r="AD7" i="3"/>
  <c r="AA7" i="3"/>
  <c r="X7" i="3"/>
  <c r="U7" i="3"/>
  <c r="R7" i="3"/>
  <c r="O7" i="3"/>
  <c r="L7" i="3"/>
  <c r="I7" i="3"/>
  <c r="F7" i="3"/>
  <c r="C7" i="3"/>
  <c r="BB6" i="3"/>
  <c r="AY6" i="3"/>
  <c r="AV6" i="3"/>
  <c r="AS6" i="3"/>
  <c r="AP6" i="3"/>
  <c r="AM6" i="3"/>
  <c r="AJ6" i="3"/>
  <c r="AG6" i="3"/>
  <c r="AD6" i="3"/>
  <c r="AA6" i="3"/>
  <c r="X6" i="3"/>
  <c r="U6" i="3"/>
  <c r="R6" i="3"/>
  <c r="O6" i="3"/>
  <c r="L6" i="3"/>
  <c r="I6" i="3"/>
  <c r="F6" i="3"/>
  <c r="C6" i="3"/>
  <c r="BB5" i="3"/>
  <c r="AY5" i="3"/>
  <c r="AV5" i="3"/>
  <c r="AS5" i="3"/>
  <c r="AP5" i="3"/>
  <c r="AM5" i="3"/>
  <c r="AJ5" i="3"/>
  <c r="AG5" i="3"/>
  <c r="AD5" i="3"/>
  <c r="AA5" i="3"/>
  <c r="X5" i="3"/>
  <c r="U5" i="3"/>
  <c r="R5" i="3"/>
  <c r="O5" i="3"/>
  <c r="L5" i="3"/>
  <c r="I5" i="3"/>
  <c r="F5" i="3"/>
  <c r="C5" i="3"/>
  <c r="BB4" i="3"/>
  <c r="AY4" i="3"/>
  <c r="AV4" i="3"/>
  <c r="AS4" i="3"/>
  <c r="AP4" i="3"/>
  <c r="AM4" i="3"/>
  <c r="AJ4" i="3"/>
  <c r="AG4" i="3"/>
  <c r="AD4" i="3"/>
  <c r="AA4" i="3"/>
  <c r="X4" i="3"/>
  <c r="U4" i="3"/>
  <c r="R4" i="3"/>
  <c r="O4" i="3"/>
  <c r="L4" i="3"/>
  <c r="I4" i="3"/>
  <c r="F4" i="3"/>
  <c r="C4" i="3"/>
  <c r="BB3" i="3"/>
  <c r="AY3" i="3"/>
  <c r="AV3" i="3"/>
  <c r="AS3" i="3"/>
  <c r="AP3" i="3"/>
  <c r="AM3" i="3"/>
  <c r="AJ3" i="3"/>
  <c r="AG3" i="3"/>
  <c r="AD3" i="3"/>
  <c r="AA3" i="3"/>
  <c r="X3" i="3"/>
  <c r="U3" i="3"/>
  <c r="R3" i="3"/>
  <c r="O3" i="3"/>
  <c r="L3" i="3"/>
  <c r="I3" i="3"/>
  <c r="F3" i="3"/>
  <c r="C3" i="3"/>
  <c r="W25" i="3"/>
  <c r="N23" i="3"/>
  <c r="AN22" i="3"/>
  <c r="AU21" i="3"/>
  <c r="AX19" i="3"/>
  <c r="AX14" i="3"/>
  <c r="AN13" i="3"/>
  <c r="H13" i="3"/>
  <c r="AH11" i="3"/>
  <c r="P10" i="3"/>
  <c r="AF9" i="3"/>
  <c r="S7" i="3"/>
  <c r="AN6" i="3"/>
  <c r="B6" i="3"/>
  <c r="BA4" i="3"/>
  <c r="AH4" i="3"/>
  <c r="M4" i="3"/>
  <c r="BA3" i="3"/>
  <c r="V3" i="3"/>
  <c r="E3" i="3"/>
  <c r="BC26" i="2"/>
  <c r="BB26" i="2"/>
  <c r="BA26" i="2"/>
  <c r="BA26" i="3" s="1"/>
  <c r="AZ26" i="2"/>
  <c r="AZ26" i="3" s="1"/>
  <c r="AY26" i="2"/>
  <c r="AX26" i="2"/>
  <c r="AX26" i="3" s="1"/>
  <c r="AW26" i="2"/>
  <c r="AW26" i="3" s="1"/>
  <c r="AV26" i="2"/>
  <c r="AU26" i="2"/>
  <c r="AU26" i="3" s="1"/>
  <c r="AT26" i="2"/>
  <c r="AS26" i="2"/>
  <c r="AR26" i="3" s="1"/>
  <c r="AR26" i="2"/>
  <c r="AQ26" i="2"/>
  <c r="AP26" i="2"/>
  <c r="AO26" i="2"/>
  <c r="AO26" i="3" s="1"/>
  <c r="AN26" i="2"/>
  <c r="AM26" i="2"/>
  <c r="AN26" i="3" s="1"/>
  <c r="AL26" i="2"/>
  <c r="AL26" i="3" s="1"/>
  <c r="AK26" i="2"/>
  <c r="AK26" i="3" s="1"/>
  <c r="AJ26" i="2"/>
  <c r="AI26" i="2"/>
  <c r="AI26" i="3" s="1"/>
  <c r="AH26" i="2"/>
  <c r="AH26" i="3" s="1"/>
  <c r="AG26" i="2"/>
  <c r="AF26" i="2"/>
  <c r="AE26" i="2"/>
  <c r="AD26" i="2"/>
  <c r="AC26" i="2"/>
  <c r="AC26" i="3" s="1"/>
  <c r="AB26" i="2"/>
  <c r="AA26" i="2"/>
  <c r="Z26" i="2"/>
  <c r="Z26" i="3" s="1"/>
  <c r="Y26" i="2"/>
  <c r="Y26" i="3" s="1"/>
  <c r="X26" i="2"/>
  <c r="W26" i="2"/>
  <c r="W26" i="3" s="1"/>
  <c r="V26" i="2"/>
  <c r="U26" i="2"/>
  <c r="T26" i="2"/>
  <c r="S26" i="2"/>
  <c r="R26" i="2"/>
  <c r="Q26" i="2"/>
  <c r="Q26" i="3" s="1"/>
  <c r="P26" i="2"/>
  <c r="P26" i="3" s="1"/>
  <c r="O26" i="2"/>
  <c r="N26" i="2"/>
  <c r="N26" i="3" s="1"/>
  <c r="M26" i="2"/>
  <c r="M26" i="3" s="1"/>
  <c r="L26" i="2"/>
  <c r="K26" i="2"/>
  <c r="K26" i="3" s="1"/>
  <c r="J26" i="2"/>
  <c r="I26" i="2"/>
  <c r="H26" i="3" s="1"/>
  <c r="H26" i="2"/>
  <c r="G26" i="2"/>
  <c r="F26" i="2"/>
  <c r="E26" i="2"/>
  <c r="E26" i="3" s="1"/>
  <c r="D26" i="2"/>
  <c r="C26" i="2"/>
  <c r="D26" i="3" s="1"/>
  <c r="BC25" i="2"/>
  <c r="BB25" i="2"/>
  <c r="BA25" i="2"/>
  <c r="AZ25" i="2"/>
  <c r="AY25" i="2"/>
  <c r="AX25" i="2"/>
  <c r="AX25" i="3" s="1"/>
  <c r="AW25" i="2"/>
  <c r="AV25" i="2"/>
  <c r="AU25" i="2"/>
  <c r="AU25" i="3" s="1"/>
  <c r="AT25" i="2"/>
  <c r="AT25" i="3" s="1"/>
  <c r="AS25" i="2"/>
  <c r="AR25" i="2"/>
  <c r="AR25" i="3" s="1"/>
  <c r="AQ25" i="2"/>
  <c r="AP25" i="2"/>
  <c r="AO25" i="2"/>
  <c r="AN25" i="2"/>
  <c r="AM25" i="2"/>
  <c r="AL25" i="2"/>
  <c r="AL25" i="3" s="1"/>
  <c r="AK25" i="2"/>
  <c r="AJ25" i="2"/>
  <c r="AI25" i="2"/>
  <c r="AI25" i="3" s="1"/>
  <c r="AH25" i="2"/>
  <c r="AH25" i="3" s="1"/>
  <c r="AG25" i="2"/>
  <c r="AF25" i="2"/>
  <c r="AF25" i="3" s="1"/>
  <c r="AE25" i="2"/>
  <c r="AD25" i="2"/>
  <c r="AC25" i="3" s="1"/>
  <c r="AC25" i="2"/>
  <c r="AB25" i="2"/>
  <c r="AA25" i="2"/>
  <c r="Z25" i="2"/>
  <c r="Z25" i="3" s="1"/>
  <c r="Y25" i="2"/>
  <c r="X25" i="2"/>
  <c r="W25" i="2"/>
  <c r="V25" i="2"/>
  <c r="V25" i="3" s="1"/>
  <c r="U25" i="2"/>
  <c r="T25" i="2"/>
  <c r="T25" i="3" s="1"/>
  <c r="S25" i="2"/>
  <c r="R25" i="2"/>
  <c r="Q25" i="3" s="1"/>
  <c r="Q25" i="2"/>
  <c r="P25" i="2"/>
  <c r="P25" i="3" s="1"/>
  <c r="O25" i="2"/>
  <c r="N25" i="2"/>
  <c r="N25" i="3" s="1"/>
  <c r="M25" i="2"/>
  <c r="L25" i="2"/>
  <c r="K25" i="2"/>
  <c r="K25" i="3" s="1"/>
  <c r="J25" i="2"/>
  <c r="J25" i="3" s="1"/>
  <c r="I25" i="2"/>
  <c r="H25" i="2"/>
  <c r="H25" i="3" s="1"/>
  <c r="G25" i="2"/>
  <c r="F25" i="2"/>
  <c r="E25" i="3" s="1"/>
  <c r="E25" i="2"/>
  <c r="D25" i="2"/>
  <c r="C25" i="2"/>
  <c r="BC24" i="2"/>
  <c r="BC24" i="3" s="1"/>
  <c r="BB24" i="2"/>
  <c r="BA24" i="2"/>
  <c r="BA24" i="3" s="1"/>
  <c r="AZ24" i="2"/>
  <c r="AY24" i="2"/>
  <c r="AX24" i="2"/>
  <c r="AW24" i="2"/>
  <c r="AV24" i="2"/>
  <c r="AU24" i="2"/>
  <c r="AU24" i="3" s="1"/>
  <c r="AT24" i="2"/>
  <c r="AT24" i="3" s="1"/>
  <c r="AS24" i="2"/>
  <c r="AR24" i="2"/>
  <c r="AQ24" i="2"/>
  <c r="AQ24" i="3" s="1"/>
  <c r="AP24" i="2"/>
  <c r="AO24" i="2"/>
  <c r="AO24" i="3" s="1"/>
  <c r="AN24" i="2"/>
  <c r="AM24" i="2"/>
  <c r="AL24" i="3" s="1"/>
  <c r="AL24" i="2"/>
  <c r="AK24" i="2"/>
  <c r="AJ24" i="2"/>
  <c r="AI24" i="2"/>
  <c r="AI24" i="3" s="1"/>
  <c r="AH24" i="2"/>
  <c r="AG24" i="2"/>
  <c r="AF24" i="2"/>
  <c r="AE24" i="2"/>
  <c r="AE24" i="3" s="1"/>
  <c r="AD24" i="2"/>
  <c r="AC24" i="2"/>
  <c r="AC24" i="3" s="1"/>
  <c r="AB24" i="2"/>
  <c r="AA24" i="2"/>
  <c r="Z24" i="2"/>
  <c r="Y24" i="2"/>
  <c r="X24" i="2"/>
  <c r="W24" i="2"/>
  <c r="W24" i="3" s="1"/>
  <c r="V24" i="2"/>
  <c r="U24" i="2"/>
  <c r="T24" i="2"/>
  <c r="T24" i="3" s="1"/>
  <c r="S24" i="2"/>
  <c r="S24" i="3" s="1"/>
  <c r="R24" i="2"/>
  <c r="Q24" i="2"/>
  <c r="Q24" i="3" s="1"/>
  <c r="P24" i="2"/>
  <c r="O24" i="2"/>
  <c r="P24" i="3" s="1"/>
  <c r="N24" i="2"/>
  <c r="M24" i="2"/>
  <c r="L24" i="2"/>
  <c r="K24" i="2"/>
  <c r="K24" i="3" s="1"/>
  <c r="J24" i="2"/>
  <c r="I24" i="2"/>
  <c r="H24" i="2"/>
  <c r="H24" i="3" s="1"/>
  <c r="G24" i="2"/>
  <c r="G24" i="3" s="1"/>
  <c r="F24" i="2"/>
  <c r="E24" i="2"/>
  <c r="E24" i="3" s="1"/>
  <c r="D24" i="2"/>
  <c r="C24" i="2"/>
  <c r="BC23" i="2"/>
  <c r="BB23" i="2"/>
  <c r="BA23" i="2"/>
  <c r="BA23" i="3" s="1"/>
  <c r="AZ23" i="2"/>
  <c r="AZ23" i="3" s="1"/>
  <c r="AY23" i="2"/>
  <c r="AX23" i="2"/>
  <c r="AX23" i="3" s="1"/>
  <c r="AW23" i="2"/>
  <c r="AV23" i="2"/>
  <c r="AU23" i="2"/>
  <c r="AT23" i="2"/>
  <c r="AT23" i="3" s="1"/>
  <c r="AS23" i="2"/>
  <c r="AR23" i="2"/>
  <c r="AR23" i="3" s="1"/>
  <c r="AQ23" i="2"/>
  <c r="AP23" i="2"/>
  <c r="AO23" i="2"/>
  <c r="AO23" i="3" s="1"/>
  <c r="AN23" i="2"/>
  <c r="AN23" i="3" s="1"/>
  <c r="AM23" i="2"/>
  <c r="AL23" i="2"/>
  <c r="AL23" i="3" s="1"/>
  <c r="AK23" i="2"/>
  <c r="AJ23" i="2"/>
  <c r="AI23" i="3" s="1"/>
  <c r="AI23" i="2"/>
  <c r="AH23" i="2"/>
  <c r="AG23" i="2"/>
  <c r="AF23" i="2"/>
  <c r="AF23" i="3" s="1"/>
  <c r="AE23" i="2"/>
  <c r="AD23" i="2"/>
  <c r="AC23" i="2"/>
  <c r="AC23" i="3" s="1"/>
  <c r="AB23" i="2"/>
  <c r="AB23" i="3" s="1"/>
  <c r="AA23" i="2"/>
  <c r="Z23" i="2"/>
  <c r="Z23" i="3" s="1"/>
  <c r="Y23" i="2"/>
  <c r="X23" i="2"/>
  <c r="W23" i="2"/>
  <c r="V23" i="2"/>
  <c r="U23" i="2"/>
  <c r="T23" i="2"/>
  <c r="T23" i="3" s="1"/>
  <c r="S23" i="2"/>
  <c r="R23" i="2"/>
  <c r="Q23" i="2"/>
  <c r="Q23" i="3" s="1"/>
  <c r="P23" i="2"/>
  <c r="P23" i="3" s="1"/>
  <c r="O23" i="2"/>
  <c r="N23" i="2"/>
  <c r="M23" i="2"/>
  <c r="L23" i="2"/>
  <c r="K23" i="2"/>
  <c r="J23" i="2"/>
  <c r="I23" i="2"/>
  <c r="H23" i="2"/>
  <c r="H23" i="3" s="1"/>
  <c r="G23" i="2"/>
  <c r="F23" i="2"/>
  <c r="E23" i="2"/>
  <c r="E23" i="3" s="1"/>
  <c r="D23" i="2"/>
  <c r="D23" i="3" s="1"/>
  <c r="C23" i="2"/>
  <c r="BC22" i="2"/>
  <c r="BB22" i="2"/>
  <c r="BA22" i="2"/>
  <c r="BA22" i="3" s="1"/>
  <c r="AZ22" i="2"/>
  <c r="AY22" i="2"/>
  <c r="AZ22" i="3" s="1"/>
  <c r="AX22" i="2"/>
  <c r="AX22" i="3" s="1"/>
  <c r="AW22" i="2"/>
  <c r="AW22" i="3" s="1"/>
  <c r="AV22" i="2"/>
  <c r="AU22" i="2"/>
  <c r="AU22" i="3" s="1"/>
  <c r="AT22" i="2"/>
  <c r="AS22" i="2"/>
  <c r="AR22" i="2"/>
  <c r="AQ22" i="2"/>
  <c r="AP22" i="2"/>
  <c r="AO22" i="2"/>
  <c r="AO22" i="3" s="1"/>
  <c r="AN22" i="2"/>
  <c r="AM22" i="2"/>
  <c r="AL22" i="2"/>
  <c r="AL22" i="3" s="1"/>
  <c r="AK22" i="2"/>
  <c r="AK22" i="3" s="1"/>
  <c r="AJ22" i="2"/>
  <c r="AI22" i="2"/>
  <c r="AI22" i="3" s="1"/>
  <c r="AH22" i="2"/>
  <c r="AG22" i="2"/>
  <c r="AF22" i="3" s="1"/>
  <c r="AF22" i="2"/>
  <c r="AE22" i="2"/>
  <c r="AD22" i="2"/>
  <c r="AC22" i="2"/>
  <c r="AC22" i="3" s="1"/>
  <c r="AB22" i="2"/>
  <c r="AA22" i="2"/>
  <c r="AB22" i="3" s="1"/>
  <c r="Z22" i="2"/>
  <c r="Z22" i="3" s="1"/>
  <c r="Y22" i="2"/>
  <c r="Y22" i="3" s="1"/>
  <c r="X22" i="2"/>
  <c r="W22" i="2"/>
  <c r="W22" i="3" s="1"/>
  <c r="V22" i="2"/>
  <c r="U22" i="2"/>
  <c r="T22" i="3" s="1"/>
  <c r="T22" i="2"/>
  <c r="S22" i="2"/>
  <c r="R22" i="2"/>
  <c r="Q22" i="2"/>
  <c r="Q22" i="3" s="1"/>
  <c r="P22" i="2"/>
  <c r="P22" i="3" s="1"/>
  <c r="O22" i="2"/>
  <c r="N22" i="2"/>
  <c r="N22" i="3" s="1"/>
  <c r="M22" i="2"/>
  <c r="M22" i="3" s="1"/>
  <c r="L22" i="2"/>
  <c r="K22" i="2"/>
  <c r="K22" i="3" s="1"/>
  <c r="J22" i="2"/>
  <c r="I22" i="2"/>
  <c r="H22" i="3" s="1"/>
  <c r="H22" i="2"/>
  <c r="G22" i="2"/>
  <c r="F22" i="2"/>
  <c r="E22" i="2"/>
  <c r="E22" i="3" s="1"/>
  <c r="D22" i="2"/>
  <c r="D22" i="3" s="1"/>
  <c r="C22" i="2"/>
  <c r="BC21" i="2"/>
  <c r="BB21" i="2"/>
  <c r="BA21" i="3" s="1"/>
  <c r="BA21" i="2"/>
  <c r="AZ21" i="2"/>
  <c r="AY21" i="2"/>
  <c r="AX21" i="2"/>
  <c r="AX21" i="3" s="1"/>
  <c r="AW21" i="2"/>
  <c r="AV21" i="2"/>
  <c r="AU21" i="2"/>
  <c r="AT21" i="2"/>
  <c r="AT21" i="3" s="1"/>
  <c r="AS21" i="2"/>
  <c r="AR21" i="2"/>
  <c r="AR21" i="3" s="1"/>
  <c r="AQ21" i="2"/>
  <c r="AP21" i="2"/>
  <c r="AO21" i="3" s="1"/>
  <c r="AO21" i="2"/>
  <c r="AN21" i="2"/>
  <c r="AM21" i="2"/>
  <c r="AL21" i="2"/>
  <c r="AL21" i="3" s="1"/>
  <c r="AK21" i="2"/>
  <c r="AJ21" i="2"/>
  <c r="AI21" i="2"/>
  <c r="AI21" i="3" s="1"/>
  <c r="AH21" i="2"/>
  <c r="AH21" i="3" s="1"/>
  <c r="AG21" i="2"/>
  <c r="AF21" i="2"/>
  <c r="AF21" i="3" s="1"/>
  <c r="AE21" i="2"/>
  <c r="AD21" i="2"/>
  <c r="AC21" i="3" s="1"/>
  <c r="AC21" i="2"/>
  <c r="AB21" i="2"/>
  <c r="AA21" i="2"/>
  <c r="Z21" i="2"/>
  <c r="Z21" i="3" s="1"/>
  <c r="Y21" i="2"/>
  <c r="X21" i="2"/>
  <c r="W21" i="2"/>
  <c r="W21" i="3" s="1"/>
  <c r="V21" i="2"/>
  <c r="V21" i="3" s="1"/>
  <c r="U21" i="2"/>
  <c r="T21" i="2"/>
  <c r="T21" i="3" s="1"/>
  <c r="S21" i="2"/>
  <c r="R21" i="2"/>
  <c r="Q21" i="3" s="1"/>
  <c r="Q21" i="2"/>
  <c r="P21" i="2"/>
  <c r="O21" i="2"/>
  <c r="N21" i="2"/>
  <c r="N21" i="3" s="1"/>
  <c r="M21" i="2"/>
  <c r="L21" i="2"/>
  <c r="K21" i="2"/>
  <c r="K21" i="3" s="1"/>
  <c r="J21" i="2"/>
  <c r="J21" i="3" s="1"/>
  <c r="I21" i="2"/>
  <c r="H21" i="2"/>
  <c r="H21" i="3" s="1"/>
  <c r="G21" i="2"/>
  <c r="F21" i="2"/>
  <c r="E21" i="2"/>
  <c r="E21" i="3" s="1"/>
  <c r="D21" i="2"/>
  <c r="C21" i="2"/>
  <c r="BC20" i="2"/>
  <c r="BC20" i="3" s="1"/>
  <c r="BB20" i="2"/>
  <c r="BA20" i="2"/>
  <c r="BA20" i="3" s="1"/>
  <c r="AZ20" i="2"/>
  <c r="AY20" i="2"/>
  <c r="AX20" i="2"/>
  <c r="AW20" i="2"/>
  <c r="AV20" i="2"/>
  <c r="AU20" i="2"/>
  <c r="AU20" i="3" s="1"/>
  <c r="AT20" i="2"/>
  <c r="AS20" i="2"/>
  <c r="AR20" i="2"/>
  <c r="AR20" i="3" s="1"/>
  <c r="AQ20" i="2"/>
  <c r="AQ20" i="3" s="1"/>
  <c r="AP20" i="2"/>
  <c r="AO20" i="2"/>
  <c r="AO20" i="3" s="1"/>
  <c r="AN20" i="2"/>
  <c r="AM20" i="2"/>
  <c r="AN20" i="3" s="1"/>
  <c r="AL20" i="2"/>
  <c r="AK20" i="2"/>
  <c r="AJ20" i="2"/>
  <c r="AI20" i="2"/>
  <c r="AI20" i="3" s="1"/>
  <c r="AH20" i="2"/>
  <c r="AG20" i="2"/>
  <c r="AF20" i="2"/>
  <c r="AF20" i="3" s="1"/>
  <c r="AE20" i="2"/>
  <c r="AE20" i="3" s="1"/>
  <c r="AD20" i="2"/>
  <c r="AC20" i="2"/>
  <c r="AC20" i="3" s="1"/>
  <c r="AB20" i="2"/>
  <c r="AA20" i="2"/>
  <c r="Z20" i="2"/>
  <c r="Y20" i="2"/>
  <c r="X20" i="2"/>
  <c r="W20" i="2"/>
  <c r="W20" i="3" s="1"/>
  <c r="V20" i="2"/>
  <c r="U20" i="2"/>
  <c r="T20" i="2"/>
  <c r="T20" i="3" s="1"/>
  <c r="S20" i="2"/>
  <c r="S20" i="3" s="1"/>
  <c r="R20" i="2"/>
  <c r="Q20" i="2"/>
  <c r="Q20" i="3" s="1"/>
  <c r="P20" i="2"/>
  <c r="P20" i="3" s="1"/>
  <c r="O20" i="2"/>
  <c r="N20" i="2"/>
  <c r="M20" i="2"/>
  <c r="L20" i="2"/>
  <c r="K20" i="2"/>
  <c r="K20" i="3" s="1"/>
  <c r="J20" i="2"/>
  <c r="I20" i="2"/>
  <c r="H20" i="2"/>
  <c r="H20" i="3" s="1"/>
  <c r="G20" i="2"/>
  <c r="G20" i="3" s="1"/>
  <c r="F20" i="2"/>
  <c r="E20" i="2"/>
  <c r="E20" i="3" s="1"/>
  <c r="D20" i="2"/>
  <c r="C20" i="2"/>
  <c r="BC19" i="2"/>
  <c r="BB19" i="2"/>
  <c r="BA19" i="2"/>
  <c r="BA19" i="3" s="1"/>
  <c r="AZ19" i="2"/>
  <c r="AZ19" i="3" s="1"/>
  <c r="AY19" i="2"/>
  <c r="AX19" i="2"/>
  <c r="AW19" i="2"/>
  <c r="AV19" i="2"/>
  <c r="AU19" i="2"/>
  <c r="AT19" i="2"/>
  <c r="AS19" i="2"/>
  <c r="AR19" i="2"/>
  <c r="AR19" i="3" s="1"/>
  <c r="AQ19" i="2"/>
  <c r="AP19" i="2"/>
  <c r="AO19" i="2"/>
  <c r="AO19" i="3" s="1"/>
  <c r="AN19" i="2"/>
  <c r="AN19" i="3" s="1"/>
  <c r="AM19" i="2"/>
  <c r="AL19" i="2"/>
  <c r="AL19" i="3" s="1"/>
  <c r="AK19" i="2"/>
  <c r="AJ19" i="2"/>
  <c r="AI19" i="2"/>
  <c r="AH19" i="2"/>
  <c r="AG19" i="2"/>
  <c r="AF19" i="2"/>
  <c r="AF19" i="3" s="1"/>
  <c r="AE19" i="2"/>
  <c r="AD19" i="2"/>
  <c r="AC19" i="2"/>
  <c r="AC19" i="3" s="1"/>
  <c r="AB19" i="2"/>
  <c r="AB19" i="3" s="1"/>
  <c r="AA19" i="2"/>
  <c r="Z19" i="2"/>
  <c r="Z19" i="3" s="1"/>
  <c r="Y19" i="2"/>
  <c r="X19" i="2"/>
  <c r="W19" i="2"/>
  <c r="V19" i="2"/>
  <c r="U19" i="2"/>
  <c r="T19" i="2"/>
  <c r="T19" i="3" s="1"/>
  <c r="S19" i="2"/>
  <c r="R19" i="2"/>
  <c r="Q19" i="2"/>
  <c r="Q19" i="3" s="1"/>
  <c r="P19" i="2"/>
  <c r="P19" i="3" s="1"/>
  <c r="O19" i="2"/>
  <c r="N19" i="2"/>
  <c r="N19" i="3" s="1"/>
  <c r="M19" i="2"/>
  <c r="L19" i="2"/>
  <c r="K19" i="3" s="1"/>
  <c r="K19" i="2"/>
  <c r="J19" i="2"/>
  <c r="J19" i="3" s="1"/>
  <c r="I19" i="2"/>
  <c r="H19" i="2"/>
  <c r="H19" i="3" s="1"/>
  <c r="G19" i="2"/>
  <c r="F19" i="2"/>
  <c r="E19" i="2"/>
  <c r="E19" i="3" s="1"/>
  <c r="D19" i="2"/>
  <c r="D19" i="3" s="1"/>
  <c r="C19" i="2"/>
  <c r="BC18" i="2"/>
  <c r="BB18" i="2"/>
  <c r="BA18" i="2"/>
  <c r="BA18" i="3" s="1"/>
  <c r="AZ18" i="2"/>
  <c r="AY18" i="2"/>
  <c r="AZ18" i="3" s="1"/>
  <c r="AX18" i="2"/>
  <c r="AX18" i="3" s="1"/>
  <c r="AW18" i="2"/>
  <c r="AW18" i="3" s="1"/>
  <c r="AV18" i="2"/>
  <c r="AU18" i="2"/>
  <c r="AU18" i="3" s="1"/>
  <c r="AT18" i="2"/>
  <c r="AS18" i="2"/>
  <c r="AR18" i="3" s="1"/>
  <c r="AR18" i="2"/>
  <c r="AQ18" i="2"/>
  <c r="AP18" i="2"/>
  <c r="AO18" i="2"/>
  <c r="AO18" i="3" s="1"/>
  <c r="AN18" i="2"/>
  <c r="AN18" i="3" s="1"/>
  <c r="AM18" i="2"/>
  <c r="AL18" i="2"/>
  <c r="AL18" i="3" s="1"/>
  <c r="AK18" i="2"/>
  <c r="AK18" i="3" s="1"/>
  <c r="AJ18" i="2"/>
  <c r="AI18" i="2"/>
  <c r="AI18" i="3" s="1"/>
  <c r="AH18" i="2"/>
  <c r="AG18" i="2"/>
  <c r="AF18" i="3" s="1"/>
  <c r="AF18" i="2"/>
  <c r="AE18" i="2"/>
  <c r="AD18" i="2"/>
  <c r="AC18" i="2"/>
  <c r="AC18" i="3" s="1"/>
  <c r="AB18" i="2"/>
  <c r="AB18" i="3" s="1"/>
  <c r="AA18" i="2"/>
  <c r="Z18" i="2"/>
  <c r="Z18" i="3" s="1"/>
  <c r="Y18" i="2"/>
  <c r="Y18" i="3" s="1"/>
  <c r="X18" i="2"/>
  <c r="W18" i="2"/>
  <c r="W18" i="3" s="1"/>
  <c r="V18" i="2"/>
  <c r="U18" i="2"/>
  <c r="T18" i="3" s="1"/>
  <c r="T18" i="2"/>
  <c r="S18" i="2"/>
  <c r="R18" i="2"/>
  <c r="Q18" i="2"/>
  <c r="Q18" i="3" s="1"/>
  <c r="P18" i="2"/>
  <c r="O18" i="2"/>
  <c r="N18" i="2"/>
  <c r="N18" i="3" s="1"/>
  <c r="M18" i="2"/>
  <c r="M18" i="3" s="1"/>
  <c r="L18" i="2"/>
  <c r="K18" i="2"/>
  <c r="K18" i="3" s="1"/>
  <c r="J18" i="2"/>
  <c r="I18" i="2"/>
  <c r="H18" i="3" s="1"/>
  <c r="H18" i="2"/>
  <c r="G18" i="2"/>
  <c r="F18" i="2"/>
  <c r="E18" i="2"/>
  <c r="E18" i="3" s="1"/>
  <c r="D18" i="2"/>
  <c r="C18" i="2"/>
  <c r="BC17" i="2"/>
  <c r="BB17" i="2"/>
  <c r="BA17" i="3" s="1"/>
  <c r="BA17" i="2"/>
  <c r="AZ17" i="2"/>
  <c r="AY17" i="2"/>
  <c r="AX17" i="2"/>
  <c r="AX17" i="3" s="1"/>
  <c r="AW17" i="2"/>
  <c r="AV17" i="2"/>
  <c r="AU17" i="2"/>
  <c r="AU17" i="3" s="1"/>
  <c r="AT17" i="2"/>
  <c r="AT17" i="3" s="1"/>
  <c r="AS17" i="2"/>
  <c r="AR17" i="2"/>
  <c r="AR17" i="3" s="1"/>
  <c r="AQ17" i="2"/>
  <c r="AP17" i="2"/>
  <c r="AO17" i="3" s="1"/>
  <c r="AO17" i="2"/>
  <c r="AN17" i="2"/>
  <c r="AM17" i="2"/>
  <c r="AN17" i="3" s="1"/>
  <c r="AL17" i="2"/>
  <c r="AL17" i="3" s="1"/>
  <c r="AK17" i="2"/>
  <c r="AJ17" i="2"/>
  <c r="AI17" i="2"/>
  <c r="AI17" i="3" s="1"/>
  <c r="AH17" i="2"/>
  <c r="AH17" i="3" s="1"/>
  <c r="AG17" i="2"/>
  <c r="AF17" i="2"/>
  <c r="AF17" i="3" s="1"/>
  <c r="AE17" i="2"/>
  <c r="AE17" i="3" s="1"/>
  <c r="AD17" i="2"/>
  <c r="AC17" i="2"/>
  <c r="AB17" i="2"/>
  <c r="AA17" i="2"/>
  <c r="Z17" i="2"/>
  <c r="Z17" i="3" s="1"/>
  <c r="Y17" i="2"/>
  <c r="X17" i="2"/>
  <c r="W17" i="2"/>
  <c r="W17" i="3" s="1"/>
  <c r="V17" i="2"/>
  <c r="V17" i="3" s="1"/>
  <c r="U17" i="2"/>
  <c r="T17" i="2"/>
  <c r="T17" i="3" s="1"/>
  <c r="S17" i="2"/>
  <c r="R17" i="2"/>
  <c r="Q17" i="2"/>
  <c r="P17" i="2"/>
  <c r="P17" i="3" s="1"/>
  <c r="O17" i="2"/>
  <c r="N17" i="2"/>
  <c r="N17" i="3" s="1"/>
  <c r="M17" i="2"/>
  <c r="L17" i="2"/>
  <c r="K17" i="2"/>
  <c r="K17" i="3" s="1"/>
  <c r="J17" i="2"/>
  <c r="J17" i="3" s="1"/>
  <c r="I17" i="2"/>
  <c r="H17" i="2"/>
  <c r="H17" i="3" s="1"/>
  <c r="G17" i="2"/>
  <c r="F17" i="2"/>
  <c r="E17" i="2"/>
  <c r="D17" i="2"/>
  <c r="C17" i="2"/>
  <c r="BC16" i="2"/>
  <c r="BC16" i="3" s="1"/>
  <c r="BB16" i="2"/>
  <c r="BA16" i="2"/>
  <c r="BA16" i="3" s="1"/>
  <c r="AZ16" i="2"/>
  <c r="AZ16" i="3" s="1"/>
  <c r="AY16" i="2"/>
  <c r="AX16" i="2"/>
  <c r="AW16" i="2"/>
  <c r="AV16" i="2"/>
  <c r="AU16" i="2"/>
  <c r="AU16" i="3" s="1"/>
  <c r="AT16" i="2"/>
  <c r="AS16" i="2"/>
  <c r="AT16" i="3" s="1"/>
  <c r="AR16" i="2"/>
  <c r="AR16" i="3" s="1"/>
  <c r="AQ16" i="2"/>
  <c r="AQ16" i="3" s="1"/>
  <c r="AP16" i="2"/>
  <c r="AO16" i="2"/>
  <c r="AO16" i="3" s="1"/>
  <c r="AN16" i="2"/>
  <c r="AM16" i="2"/>
  <c r="AL16" i="3" s="1"/>
  <c r="AL16" i="2"/>
  <c r="AK16" i="2"/>
  <c r="AK16" i="3" s="1"/>
  <c r="AJ16" i="2"/>
  <c r="AI16" i="2"/>
  <c r="AI16" i="3" s="1"/>
  <c r="AH16" i="2"/>
  <c r="AG16" i="2"/>
  <c r="AF16" i="2"/>
  <c r="AF16" i="3" s="1"/>
  <c r="AE16" i="2"/>
  <c r="AE16" i="3" s="1"/>
  <c r="AD16" i="2"/>
  <c r="AC16" i="2"/>
  <c r="AC16" i="3" s="1"/>
  <c r="AB16" i="2"/>
  <c r="AA16" i="2"/>
  <c r="Z16" i="2"/>
  <c r="Y16" i="2"/>
  <c r="X16" i="2"/>
  <c r="W16" i="2"/>
  <c r="W16" i="3" s="1"/>
  <c r="V16" i="2"/>
  <c r="V16" i="3" s="1"/>
  <c r="U16" i="2"/>
  <c r="T16" i="2"/>
  <c r="T16" i="3" s="1"/>
  <c r="S16" i="2"/>
  <c r="S16" i="3" s="1"/>
  <c r="R16" i="2"/>
  <c r="Q16" i="2"/>
  <c r="Q16" i="3" s="1"/>
  <c r="P16" i="2"/>
  <c r="O16" i="2"/>
  <c r="N16" i="3" s="1"/>
  <c r="N16" i="2"/>
  <c r="M16" i="2"/>
  <c r="L16" i="2"/>
  <c r="M16" i="3" s="1"/>
  <c r="K16" i="2"/>
  <c r="K16" i="3" s="1"/>
  <c r="J16" i="2"/>
  <c r="I16" i="2"/>
  <c r="H16" i="2"/>
  <c r="H16" i="3" s="1"/>
  <c r="G16" i="2"/>
  <c r="G16" i="3" s="1"/>
  <c r="F16" i="2"/>
  <c r="E16" i="2"/>
  <c r="E16" i="3" s="1"/>
  <c r="D16" i="2"/>
  <c r="D16" i="3" s="1"/>
  <c r="C16" i="2"/>
  <c r="BC15" i="2"/>
  <c r="BB15" i="2"/>
  <c r="BC15" i="3" s="1"/>
  <c r="BA15" i="2"/>
  <c r="BA15" i="3" s="1"/>
  <c r="AZ15" i="2"/>
  <c r="AZ15" i="3" s="1"/>
  <c r="AY15" i="2"/>
  <c r="AX15" i="2"/>
  <c r="AX15" i="3" s="1"/>
  <c r="AW15" i="2"/>
  <c r="AV15" i="2"/>
  <c r="AU15" i="2"/>
  <c r="AT15" i="2"/>
  <c r="AS15" i="2"/>
  <c r="AR15" i="2"/>
  <c r="AR15" i="3" s="1"/>
  <c r="AQ15" i="2"/>
  <c r="AQ15" i="3" s="1"/>
  <c r="AP15" i="2"/>
  <c r="AO15" i="2"/>
  <c r="AO15" i="3" s="1"/>
  <c r="AN15" i="2"/>
  <c r="AN15" i="3" s="1"/>
  <c r="AM15" i="2"/>
  <c r="AL15" i="2"/>
  <c r="AL15" i="3" s="1"/>
  <c r="AK15" i="2"/>
  <c r="AJ15" i="2"/>
  <c r="AI15" i="2"/>
  <c r="AH15" i="2"/>
  <c r="AG15" i="2"/>
  <c r="AH15" i="3" s="1"/>
  <c r="AF15" i="2"/>
  <c r="AF15" i="3" s="1"/>
  <c r="AE15" i="2"/>
  <c r="AD15" i="2"/>
  <c r="AE15" i="3" s="1"/>
  <c r="AC15" i="2"/>
  <c r="AC15" i="3" s="1"/>
  <c r="AB15" i="2"/>
  <c r="AB15" i="3" s="1"/>
  <c r="AA15" i="2"/>
  <c r="Z15" i="2"/>
  <c r="Z15" i="3" s="1"/>
  <c r="Y15" i="2"/>
  <c r="X15" i="2"/>
  <c r="W15" i="2"/>
  <c r="V15" i="2"/>
  <c r="U15" i="2"/>
  <c r="T15" i="2"/>
  <c r="T15" i="3" s="1"/>
  <c r="S15" i="2"/>
  <c r="S15" i="3" s="1"/>
  <c r="R15" i="2"/>
  <c r="Q15" i="2"/>
  <c r="Q15" i="3" s="1"/>
  <c r="P15" i="2"/>
  <c r="P15" i="3" s="1"/>
  <c r="O15" i="2"/>
  <c r="N15" i="2"/>
  <c r="N15" i="3" s="1"/>
  <c r="M15" i="2"/>
  <c r="L15" i="2"/>
  <c r="M15" i="3" s="1"/>
  <c r="K15" i="2"/>
  <c r="J15" i="2"/>
  <c r="J15" i="3" s="1"/>
  <c r="I15" i="2"/>
  <c r="H15" i="2"/>
  <c r="H15" i="3" s="1"/>
  <c r="G15" i="2"/>
  <c r="F15" i="2"/>
  <c r="G15" i="3" s="1"/>
  <c r="E15" i="2"/>
  <c r="E15" i="3" s="1"/>
  <c r="D15" i="2"/>
  <c r="D15" i="3" s="1"/>
  <c r="C15" i="2"/>
  <c r="BC14" i="2"/>
  <c r="BB14" i="2"/>
  <c r="BA14" i="2"/>
  <c r="BA14" i="3" s="1"/>
  <c r="AZ14" i="2"/>
  <c r="AY14" i="2"/>
  <c r="AZ14" i="3" s="1"/>
  <c r="AX14" i="2"/>
  <c r="AW14" i="2"/>
  <c r="AW14" i="3" s="1"/>
  <c r="AV14" i="2"/>
  <c r="AU14" i="2"/>
  <c r="AU14" i="3" s="1"/>
  <c r="AT14" i="2"/>
  <c r="AS14" i="2"/>
  <c r="AR14" i="3" s="1"/>
  <c r="AR14" i="2"/>
  <c r="AQ14" i="2"/>
  <c r="AP14" i="2"/>
  <c r="AO14" i="2"/>
  <c r="AO14" i="3" s="1"/>
  <c r="AN14" i="2"/>
  <c r="AN14" i="3" s="1"/>
  <c r="AM14" i="2"/>
  <c r="AL14" i="2"/>
  <c r="AL14" i="3" s="1"/>
  <c r="AK14" i="2"/>
  <c r="AK14" i="3" s="1"/>
  <c r="AJ14" i="2"/>
  <c r="AI14" i="2"/>
  <c r="AI14" i="3" s="1"/>
  <c r="AH14" i="2"/>
  <c r="AG14" i="2"/>
  <c r="AH14" i="3" s="1"/>
  <c r="AF14" i="2"/>
  <c r="AF14" i="3" s="1"/>
  <c r="AE14" i="2"/>
  <c r="AD14" i="2"/>
  <c r="AC14" i="2"/>
  <c r="AC14" i="3" s="1"/>
  <c r="AB14" i="2"/>
  <c r="AA14" i="2"/>
  <c r="Z14" i="2"/>
  <c r="Z14" i="3" s="1"/>
  <c r="Y14" i="2"/>
  <c r="Y14" i="3" s="1"/>
  <c r="X14" i="2"/>
  <c r="W14" i="2"/>
  <c r="W14" i="3" s="1"/>
  <c r="V14" i="2"/>
  <c r="U14" i="2"/>
  <c r="T14" i="3" s="1"/>
  <c r="T14" i="2"/>
  <c r="S14" i="2"/>
  <c r="S14" i="3" s="1"/>
  <c r="R14" i="2"/>
  <c r="Q14" i="2"/>
  <c r="Q14" i="3" s="1"/>
  <c r="P14" i="2"/>
  <c r="P14" i="3" s="1"/>
  <c r="O14" i="2"/>
  <c r="N14" i="2"/>
  <c r="N14" i="3" s="1"/>
  <c r="M14" i="2"/>
  <c r="M14" i="3" s="1"/>
  <c r="L14" i="2"/>
  <c r="K14" i="2"/>
  <c r="K14" i="3" s="1"/>
  <c r="J14" i="2"/>
  <c r="I14" i="2"/>
  <c r="H14" i="3" s="1"/>
  <c r="H14" i="2"/>
  <c r="G14" i="2"/>
  <c r="F14" i="2"/>
  <c r="E14" i="2"/>
  <c r="E14" i="3" s="1"/>
  <c r="D14" i="2"/>
  <c r="C14" i="2"/>
  <c r="D14" i="3" s="1"/>
  <c r="BC13" i="2"/>
  <c r="BC13" i="3" s="1"/>
  <c r="BB13" i="2"/>
  <c r="BA13" i="2"/>
  <c r="AZ13" i="2"/>
  <c r="AY13" i="2"/>
  <c r="AX13" i="2"/>
  <c r="AX13" i="3" s="1"/>
  <c r="AW13" i="2"/>
  <c r="AV13" i="2"/>
  <c r="AW13" i="3" s="1"/>
  <c r="AU13" i="2"/>
  <c r="AU13" i="3" s="1"/>
  <c r="AT13" i="2"/>
  <c r="AT13" i="3" s="1"/>
  <c r="AS13" i="2"/>
  <c r="AR13" i="2"/>
  <c r="AR13" i="3" s="1"/>
  <c r="AQ13" i="2"/>
  <c r="AP13" i="2"/>
  <c r="AO13" i="2"/>
  <c r="AN13" i="2"/>
  <c r="AM13" i="2"/>
  <c r="AL13" i="2"/>
  <c r="AL13" i="3" s="1"/>
  <c r="AK13" i="2"/>
  <c r="AJ13" i="2"/>
  <c r="AI13" i="2"/>
  <c r="AI13" i="3" s="1"/>
  <c r="AH13" i="2"/>
  <c r="AH13" i="3" s="1"/>
  <c r="AG13" i="2"/>
  <c r="AF13" i="2"/>
  <c r="AF13" i="3" s="1"/>
  <c r="AE13" i="2"/>
  <c r="AD13" i="2"/>
  <c r="AC13" i="2"/>
  <c r="AB13" i="2"/>
  <c r="AA13" i="2"/>
  <c r="Z13" i="2"/>
  <c r="Z13" i="3" s="1"/>
  <c r="Y13" i="2"/>
  <c r="Y13" i="3" s="1"/>
  <c r="X13" i="2"/>
  <c r="W13" i="2"/>
  <c r="W13" i="3" s="1"/>
  <c r="V13" i="2"/>
  <c r="V13" i="3" s="1"/>
  <c r="U13" i="2"/>
  <c r="T13" i="2"/>
  <c r="T13" i="3" s="1"/>
  <c r="S13" i="2"/>
  <c r="R13" i="2"/>
  <c r="Q13" i="2"/>
  <c r="P13" i="2"/>
  <c r="O13" i="2"/>
  <c r="N13" i="2"/>
  <c r="N13" i="3" s="1"/>
  <c r="M13" i="2"/>
  <c r="L13" i="2"/>
  <c r="K13" i="2"/>
  <c r="K13" i="3" s="1"/>
  <c r="J13" i="2"/>
  <c r="J13" i="3" s="1"/>
  <c r="I13" i="2"/>
  <c r="H13" i="2"/>
  <c r="G13" i="2"/>
  <c r="G13" i="3" s="1"/>
  <c r="F13" i="2"/>
  <c r="E13" i="2"/>
  <c r="D13" i="2"/>
  <c r="C13" i="2"/>
  <c r="BC12" i="2"/>
  <c r="BC12" i="3" s="1"/>
  <c r="BB12" i="2"/>
  <c r="BA12" i="2"/>
  <c r="BA12" i="3" s="1"/>
  <c r="AZ12" i="2"/>
  <c r="AY12" i="2"/>
  <c r="AX12" i="2"/>
  <c r="AW12" i="2"/>
  <c r="AV12" i="2"/>
  <c r="AU12" i="2"/>
  <c r="AU12" i="3" s="1"/>
  <c r="AT12" i="2"/>
  <c r="AT12" i="3" s="1"/>
  <c r="AS12" i="2"/>
  <c r="AR12" i="2"/>
  <c r="AR12" i="3" s="1"/>
  <c r="AQ12" i="2"/>
  <c r="AQ12" i="3" s="1"/>
  <c r="AP12" i="2"/>
  <c r="AO12" i="2"/>
  <c r="AO12" i="3" s="1"/>
  <c r="AN12" i="2"/>
  <c r="AM12" i="2"/>
  <c r="AL12" i="3" s="1"/>
  <c r="AL12" i="2"/>
  <c r="AK12" i="2"/>
  <c r="AJ12" i="2"/>
  <c r="AK12" i="3" s="1"/>
  <c r="AI12" i="2"/>
  <c r="AI12" i="3" s="1"/>
  <c r="AH12" i="2"/>
  <c r="AG12" i="2"/>
  <c r="AF12" i="2"/>
  <c r="AF12" i="3" s="1"/>
  <c r="AE12" i="2"/>
  <c r="AE12" i="3" s="1"/>
  <c r="AD12" i="2"/>
  <c r="AC12" i="2"/>
  <c r="AC12" i="3" s="1"/>
  <c r="AB12" i="2"/>
  <c r="AA12" i="2"/>
  <c r="AB12" i="3" s="1"/>
  <c r="Z12" i="2"/>
  <c r="Y12" i="2"/>
  <c r="X12" i="2"/>
  <c r="W12" i="2"/>
  <c r="W12" i="3" s="1"/>
  <c r="V12" i="2"/>
  <c r="U12" i="2"/>
  <c r="T12" i="2"/>
  <c r="T12" i="3" s="1"/>
  <c r="S12" i="2"/>
  <c r="S12" i="3" s="1"/>
  <c r="R12" i="2"/>
  <c r="Q12" i="2"/>
  <c r="Q12" i="3" s="1"/>
  <c r="P12" i="2"/>
  <c r="O12" i="2"/>
  <c r="N12" i="3" s="1"/>
  <c r="N12" i="2"/>
  <c r="M12" i="2"/>
  <c r="M12" i="3" s="1"/>
  <c r="L12" i="2"/>
  <c r="K12" i="2"/>
  <c r="K12" i="3" s="1"/>
  <c r="J12" i="2"/>
  <c r="I12" i="2"/>
  <c r="H12" i="2"/>
  <c r="H12" i="3" s="1"/>
  <c r="G12" i="2"/>
  <c r="G12" i="3" s="1"/>
  <c r="F12" i="2"/>
  <c r="E12" i="2"/>
  <c r="E12" i="3" s="1"/>
  <c r="D12" i="2"/>
  <c r="C12" i="2"/>
  <c r="BC11" i="2"/>
  <c r="BB11" i="2"/>
  <c r="BC11" i="3" s="1"/>
  <c r="BA11" i="2"/>
  <c r="BA11" i="3" s="1"/>
  <c r="AZ11" i="2"/>
  <c r="AZ11" i="3" s="1"/>
  <c r="AY11" i="2"/>
  <c r="AX11" i="2"/>
  <c r="AX11" i="3" s="1"/>
  <c r="AW11" i="2"/>
  <c r="AV11" i="2"/>
  <c r="AU11" i="2"/>
  <c r="AT11" i="2"/>
  <c r="AS11" i="2"/>
  <c r="AR11" i="2"/>
  <c r="AR11" i="3" s="1"/>
  <c r="AQ11" i="2"/>
  <c r="AQ11" i="3" s="1"/>
  <c r="AP11" i="2"/>
  <c r="AO11" i="2"/>
  <c r="AO11" i="3" s="1"/>
  <c r="AN11" i="2"/>
  <c r="AN11" i="3" s="1"/>
  <c r="AM11" i="2"/>
  <c r="AL11" i="2"/>
  <c r="AL11" i="3" s="1"/>
  <c r="AK11" i="2"/>
  <c r="AJ11" i="2"/>
  <c r="AK11" i="3" s="1"/>
  <c r="AI11" i="2"/>
  <c r="AH11" i="2"/>
  <c r="AG11" i="2"/>
  <c r="AF11" i="2"/>
  <c r="AF11" i="3" s="1"/>
  <c r="AE11" i="2"/>
  <c r="AD11" i="2"/>
  <c r="AE11" i="3" s="1"/>
  <c r="AC11" i="2"/>
  <c r="AC11" i="3" s="1"/>
  <c r="AB11" i="2"/>
  <c r="AB11" i="3" s="1"/>
  <c r="AA11" i="2"/>
  <c r="Z11" i="2"/>
  <c r="Z11" i="3" s="1"/>
  <c r="Y11" i="2"/>
  <c r="X11" i="2"/>
  <c r="W11" i="2"/>
  <c r="V11" i="2"/>
  <c r="U11" i="2"/>
  <c r="T11" i="2"/>
  <c r="T11" i="3" s="1"/>
  <c r="S11" i="2"/>
  <c r="S11" i="3" s="1"/>
  <c r="R11" i="2"/>
  <c r="Q11" i="2"/>
  <c r="Q11" i="3" s="1"/>
  <c r="P11" i="2"/>
  <c r="P11" i="3" s="1"/>
  <c r="O11" i="2"/>
  <c r="N11" i="2"/>
  <c r="N11" i="3" s="1"/>
  <c r="M11" i="2"/>
  <c r="L11" i="2"/>
  <c r="K11" i="2"/>
  <c r="J11" i="2"/>
  <c r="I11" i="2"/>
  <c r="H11" i="2"/>
  <c r="H11" i="3" s="1"/>
  <c r="G11" i="2"/>
  <c r="F11" i="2"/>
  <c r="G11" i="3" s="1"/>
  <c r="E11" i="2"/>
  <c r="E11" i="3" s="1"/>
  <c r="D11" i="2"/>
  <c r="D11" i="3" s="1"/>
  <c r="C11" i="2"/>
  <c r="BC10" i="2"/>
  <c r="BB10" i="2"/>
  <c r="BA10" i="2"/>
  <c r="BA10" i="3" s="1"/>
  <c r="AZ10" i="2"/>
  <c r="AY10" i="2"/>
  <c r="AZ10" i="3" s="1"/>
  <c r="AX10" i="2"/>
  <c r="AX10" i="3" s="1"/>
  <c r="AW10" i="2"/>
  <c r="AW10" i="3" s="1"/>
  <c r="AV10" i="2"/>
  <c r="AU10" i="2"/>
  <c r="AU10" i="3" s="1"/>
  <c r="AT10" i="2"/>
  <c r="AS10" i="2"/>
  <c r="AR10" i="3" s="1"/>
  <c r="AR10" i="2"/>
  <c r="AQ10" i="2"/>
  <c r="AQ10" i="3" s="1"/>
  <c r="AP10" i="2"/>
  <c r="AO10" i="2"/>
  <c r="AO10" i="3" s="1"/>
  <c r="AN10" i="2"/>
  <c r="AN10" i="3" s="1"/>
  <c r="AM10" i="2"/>
  <c r="AL10" i="2"/>
  <c r="AL10" i="3" s="1"/>
  <c r="AK10" i="2"/>
  <c r="AK10" i="3" s="1"/>
  <c r="AJ10" i="2"/>
  <c r="AI10" i="2"/>
  <c r="AI10" i="3" s="1"/>
  <c r="AH10" i="2"/>
  <c r="AG10" i="2"/>
  <c r="AF10" i="3" s="1"/>
  <c r="AF10" i="2"/>
  <c r="AE10" i="2"/>
  <c r="AD10" i="2"/>
  <c r="AC10" i="2"/>
  <c r="AC10" i="3" s="1"/>
  <c r="AB10" i="2"/>
  <c r="AA10" i="2"/>
  <c r="Z10" i="2"/>
  <c r="Z10" i="3" s="1"/>
  <c r="Y10" i="2"/>
  <c r="Y10" i="3" s="1"/>
  <c r="X10" i="2"/>
  <c r="W10" i="2"/>
  <c r="W10" i="3" s="1"/>
  <c r="V10" i="2"/>
  <c r="U10" i="2"/>
  <c r="T10" i="3" s="1"/>
  <c r="T10" i="2"/>
  <c r="S10" i="2"/>
  <c r="R10" i="2"/>
  <c r="Q10" i="2"/>
  <c r="Q10" i="3" s="1"/>
  <c r="P10" i="2"/>
  <c r="O10" i="2"/>
  <c r="N10" i="2"/>
  <c r="N10" i="3" s="1"/>
  <c r="M10" i="2"/>
  <c r="M10" i="3" s="1"/>
  <c r="L10" i="2"/>
  <c r="K10" i="2"/>
  <c r="K10" i="3" s="1"/>
  <c r="J10" i="2"/>
  <c r="I10" i="2"/>
  <c r="H10" i="2"/>
  <c r="H10" i="3" s="1"/>
  <c r="G10" i="2"/>
  <c r="F10" i="2"/>
  <c r="E10" i="2"/>
  <c r="E10" i="3" s="1"/>
  <c r="D10" i="2"/>
  <c r="C10" i="2"/>
  <c r="D10" i="3" s="1"/>
  <c r="BC9" i="2"/>
  <c r="BB9" i="2"/>
  <c r="BA9" i="2"/>
  <c r="AZ9" i="2"/>
  <c r="AY9" i="2"/>
  <c r="AX9" i="2"/>
  <c r="AX9" i="3" s="1"/>
  <c r="AW9" i="2"/>
  <c r="AW9" i="3" s="1"/>
  <c r="AV9" i="2"/>
  <c r="AU9" i="2"/>
  <c r="AU9" i="3" s="1"/>
  <c r="AT9" i="2"/>
  <c r="AT9" i="3" s="1"/>
  <c r="AS9" i="2"/>
  <c r="AR9" i="2"/>
  <c r="AR9" i="3" s="1"/>
  <c r="AQ9" i="2"/>
  <c r="AP9" i="2"/>
  <c r="AO9" i="2"/>
  <c r="AN9" i="2"/>
  <c r="AM9" i="2"/>
  <c r="AL9" i="2"/>
  <c r="AL9" i="3" s="1"/>
  <c r="AK9" i="2"/>
  <c r="AJ9" i="2"/>
  <c r="AI9" i="2"/>
  <c r="AI9" i="3" s="1"/>
  <c r="AH9" i="2"/>
  <c r="AH9" i="3" s="1"/>
  <c r="AG9" i="2"/>
  <c r="AF9" i="2"/>
  <c r="AE9" i="2"/>
  <c r="AE9" i="3" s="1"/>
  <c r="AD9" i="2"/>
  <c r="AC9" i="2"/>
  <c r="AB9" i="2"/>
  <c r="AA9" i="2"/>
  <c r="Z9" i="2"/>
  <c r="Z9" i="3" s="1"/>
  <c r="Y9" i="2"/>
  <c r="X9" i="2"/>
  <c r="W9" i="2"/>
  <c r="W9" i="3" s="1"/>
  <c r="V9" i="2"/>
  <c r="V9" i="3" s="1"/>
  <c r="U9" i="2"/>
  <c r="T9" i="2"/>
  <c r="T9" i="3" s="1"/>
  <c r="S9" i="2"/>
  <c r="R9" i="2"/>
  <c r="Q9" i="2"/>
  <c r="P9" i="2"/>
  <c r="P9" i="3" s="1"/>
  <c r="O9" i="2"/>
  <c r="N9" i="2"/>
  <c r="N9" i="3" s="1"/>
  <c r="M9" i="2"/>
  <c r="L9" i="2"/>
  <c r="K9" i="2"/>
  <c r="K9" i="3" s="1"/>
  <c r="J9" i="2"/>
  <c r="J9" i="3" s="1"/>
  <c r="I9" i="2"/>
  <c r="H9" i="2"/>
  <c r="H9" i="3" s="1"/>
  <c r="G9" i="2"/>
  <c r="F9" i="2"/>
  <c r="E9" i="2"/>
  <c r="D9" i="2"/>
  <c r="C9" i="2"/>
  <c r="BC8" i="2"/>
  <c r="BC8" i="3" s="1"/>
  <c r="BB8" i="2"/>
  <c r="BA8" i="2"/>
  <c r="BA8" i="3" s="1"/>
  <c r="AZ8" i="2"/>
  <c r="AY8" i="2"/>
  <c r="AZ8" i="3" s="1"/>
  <c r="AX8" i="2"/>
  <c r="AW8" i="2"/>
  <c r="AV8" i="2"/>
  <c r="AU8" i="2"/>
  <c r="AU8" i="3" s="1"/>
  <c r="AT8" i="2"/>
  <c r="AS8" i="2"/>
  <c r="AT8" i="3" s="1"/>
  <c r="AR8" i="2"/>
  <c r="AR8" i="3" s="1"/>
  <c r="AQ8" i="2"/>
  <c r="AQ8" i="3" s="1"/>
  <c r="AP8" i="2"/>
  <c r="AO8" i="2"/>
  <c r="AO8" i="3" s="1"/>
  <c r="AN8" i="2"/>
  <c r="AM8" i="2"/>
  <c r="AL8" i="3" s="1"/>
  <c r="AL8" i="2"/>
  <c r="AK8" i="2"/>
  <c r="AK8" i="3" s="1"/>
  <c r="AJ8" i="2"/>
  <c r="AI8" i="2"/>
  <c r="AI8" i="3" s="1"/>
  <c r="AH8" i="2"/>
  <c r="AG8" i="2"/>
  <c r="AF8" i="2"/>
  <c r="AF8" i="3" s="1"/>
  <c r="AE8" i="2"/>
  <c r="AE8" i="3" s="1"/>
  <c r="AD8" i="2"/>
  <c r="AC8" i="2"/>
  <c r="AC8" i="3" s="1"/>
  <c r="AB8" i="2"/>
  <c r="AA8" i="2"/>
  <c r="Z8" i="2"/>
  <c r="Y8" i="2"/>
  <c r="X8" i="2"/>
  <c r="W8" i="2"/>
  <c r="W8" i="3" s="1"/>
  <c r="V8" i="2"/>
  <c r="V8" i="3" s="1"/>
  <c r="U8" i="2"/>
  <c r="T8" i="2"/>
  <c r="T8" i="3" s="1"/>
  <c r="S8" i="2"/>
  <c r="S8" i="3" s="1"/>
  <c r="R8" i="2"/>
  <c r="Q8" i="2"/>
  <c r="Q8" i="3" s="1"/>
  <c r="P8" i="2"/>
  <c r="O8" i="2"/>
  <c r="N8" i="3" s="1"/>
  <c r="N8" i="2"/>
  <c r="M8" i="2"/>
  <c r="L8" i="2"/>
  <c r="M8" i="3" s="1"/>
  <c r="K8" i="2"/>
  <c r="K8" i="3" s="1"/>
  <c r="J8" i="2"/>
  <c r="I8" i="2"/>
  <c r="H8" i="2"/>
  <c r="H8" i="3" s="1"/>
  <c r="G8" i="2"/>
  <c r="G8" i="3" s="1"/>
  <c r="F8" i="2"/>
  <c r="E8" i="2"/>
  <c r="E8" i="3" s="1"/>
  <c r="D8" i="2"/>
  <c r="C8" i="2"/>
  <c r="D8" i="3" s="1"/>
  <c r="BC7" i="2"/>
  <c r="BB7" i="2"/>
  <c r="BC7" i="3" s="1"/>
  <c r="BA7" i="2"/>
  <c r="BA7" i="3" s="1"/>
  <c r="AZ7" i="2"/>
  <c r="AZ7" i="3" s="1"/>
  <c r="AY7" i="2"/>
  <c r="AX7" i="2"/>
  <c r="AX7" i="3" s="1"/>
  <c r="AW7" i="2"/>
  <c r="AV7" i="2"/>
  <c r="AU7" i="2"/>
  <c r="AT7" i="2"/>
  <c r="AS7" i="2"/>
  <c r="AR7" i="2"/>
  <c r="AR7" i="3" s="1"/>
  <c r="AQ7" i="2"/>
  <c r="AQ7" i="3" s="1"/>
  <c r="AP7" i="2"/>
  <c r="AO7" i="2"/>
  <c r="AO7" i="3" s="1"/>
  <c r="AN7" i="2"/>
  <c r="AN7" i="3" s="1"/>
  <c r="AM7" i="2"/>
  <c r="AL7" i="2"/>
  <c r="AL7" i="3" s="1"/>
  <c r="AK7" i="2"/>
  <c r="AJ7" i="2"/>
  <c r="AI7" i="2"/>
  <c r="AH7" i="2"/>
  <c r="AG7" i="2"/>
  <c r="AH7" i="3" s="1"/>
  <c r="AF7" i="2"/>
  <c r="AF7" i="3" s="1"/>
  <c r="AE7" i="2"/>
  <c r="AD7" i="2"/>
  <c r="AE7" i="3" s="1"/>
  <c r="AC7" i="2"/>
  <c r="AC7" i="3" s="1"/>
  <c r="AB7" i="2"/>
  <c r="AB7" i="3" s="1"/>
  <c r="AA7" i="2"/>
  <c r="Z7" i="2"/>
  <c r="Z7" i="3" s="1"/>
  <c r="Y7" i="2"/>
  <c r="X7" i="2"/>
  <c r="W7" i="2"/>
  <c r="V7" i="2"/>
  <c r="U7" i="2"/>
  <c r="T7" i="2"/>
  <c r="T7" i="3" s="1"/>
  <c r="S7" i="2"/>
  <c r="R7" i="2"/>
  <c r="Q7" i="2"/>
  <c r="Q7" i="3" s="1"/>
  <c r="P7" i="2"/>
  <c r="P7" i="3" s="1"/>
  <c r="O7" i="2"/>
  <c r="N7" i="2"/>
  <c r="N7" i="3" s="1"/>
  <c r="M7" i="2"/>
  <c r="L7" i="2"/>
  <c r="M7" i="3" s="1"/>
  <c r="K7" i="2"/>
  <c r="J7" i="2"/>
  <c r="J7" i="3" s="1"/>
  <c r="I7" i="2"/>
  <c r="H7" i="2"/>
  <c r="H7" i="3" s="1"/>
  <c r="G7" i="2"/>
  <c r="F7" i="2"/>
  <c r="G7" i="3" s="1"/>
  <c r="E7" i="2"/>
  <c r="E7" i="3" s="1"/>
  <c r="D7" i="2"/>
  <c r="D7" i="3" s="1"/>
  <c r="C7" i="2"/>
  <c r="BC6" i="2"/>
  <c r="BB6" i="2"/>
  <c r="BA6" i="2"/>
  <c r="BA6" i="3" s="1"/>
  <c r="AZ6" i="2"/>
  <c r="AY6" i="2"/>
  <c r="AZ6" i="3" s="1"/>
  <c r="AX6" i="2"/>
  <c r="AX6" i="3" s="1"/>
  <c r="AW6" i="2"/>
  <c r="AW6" i="3" s="1"/>
  <c r="AV6" i="2"/>
  <c r="AU6" i="2"/>
  <c r="AU6" i="3" s="1"/>
  <c r="AT6" i="2"/>
  <c r="AS6" i="2"/>
  <c r="AR6" i="3" s="1"/>
  <c r="AR6" i="2"/>
  <c r="AQ6" i="2"/>
  <c r="AP6" i="2"/>
  <c r="AO6" i="2"/>
  <c r="AO6" i="3" s="1"/>
  <c r="AN6" i="2"/>
  <c r="AM6" i="2"/>
  <c r="AL6" i="2"/>
  <c r="AL6" i="3" s="1"/>
  <c r="AK6" i="2"/>
  <c r="AK6" i="3" s="1"/>
  <c r="AJ6" i="2"/>
  <c r="AI6" i="2"/>
  <c r="AI6" i="3" s="1"/>
  <c r="AH6" i="2"/>
  <c r="AG6" i="2"/>
  <c r="AH6" i="3" s="1"/>
  <c r="AF6" i="2"/>
  <c r="AF6" i="3" s="1"/>
  <c r="AE6" i="2"/>
  <c r="AD6" i="2"/>
  <c r="AC6" i="2"/>
  <c r="AC6" i="3" s="1"/>
  <c r="AB6" i="2"/>
  <c r="AA6" i="2"/>
  <c r="AB6" i="3" s="1"/>
  <c r="Z6" i="2"/>
  <c r="Z6" i="3" s="1"/>
  <c r="Y6" i="2"/>
  <c r="Y6" i="3" s="1"/>
  <c r="X6" i="2"/>
  <c r="W6" i="2"/>
  <c r="W6" i="3" s="1"/>
  <c r="V6" i="2"/>
  <c r="U6" i="2"/>
  <c r="T6" i="3" s="1"/>
  <c r="T6" i="2"/>
  <c r="S6" i="2"/>
  <c r="S6" i="3" s="1"/>
  <c r="R6" i="2"/>
  <c r="Q6" i="2"/>
  <c r="Q6" i="3" s="1"/>
  <c r="P6" i="2"/>
  <c r="P6" i="3" s="1"/>
  <c r="O6" i="2"/>
  <c r="N6" i="2"/>
  <c r="N6" i="3" s="1"/>
  <c r="M6" i="2"/>
  <c r="M6" i="3" s="1"/>
  <c r="L6" i="2"/>
  <c r="K6" i="2"/>
  <c r="K6" i="3" s="1"/>
  <c r="J6" i="2"/>
  <c r="I6" i="2"/>
  <c r="H6" i="3" s="1"/>
  <c r="H6" i="2"/>
  <c r="G6" i="2"/>
  <c r="F6" i="2"/>
  <c r="E6" i="2"/>
  <c r="E6" i="3" s="1"/>
  <c r="D6" i="2"/>
  <c r="C6" i="2"/>
  <c r="D6" i="3" s="1"/>
  <c r="BC5" i="2"/>
  <c r="BC5" i="3" s="1"/>
  <c r="BB5" i="2"/>
  <c r="BA5" i="2"/>
  <c r="AZ5" i="2"/>
  <c r="AY5" i="2"/>
  <c r="AX5" i="2"/>
  <c r="AX5" i="3" s="1"/>
  <c r="AW5" i="2"/>
  <c r="AV5" i="2"/>
  <c r="AW5" i="3" s="1"/>
  <c r="AU5" i="2"/>
  <c r="AU5" i="3" s="1"/>
  <c r="AT5" i="2"/>
  <c r="AT5" i="3" s="1"/>
  <c r="AS5" i="2"/>
  <c r="AR5" i="2"/>
  <c r="AR5" i="3" s="1"/>
  <c r="AQ5" i="2"/>
  <c r="AP5" i="2"/>
  <c r="AO5" i="3" s="1"/>
  <c r="AO5" i="2"/>
  <c r="AN5" i="2"/>
  <c r="AN5" i="3" s="1"/>
  <c r="AM5" i="2"/>
  <c r="AL5" i="2"/>
  <c r="AL5" i="3" s="1"/>
  <c r="AK5" i="2"/>
  <c r="AJ5" i="2"/>
  <c r="AK5" i="3" s="1"/>
  <c r="AI5" i="2"/>
  <c r="AI5" i="3" s="1"/>
  <c r="AH5" i="2"/>
  <c r="AH5" i="3" s="1"/>
  <c r="AG5" i="2"/>
  <c r="AF5" i="2"/>
  <c r="AF5" i="3" s="1"/>
  <c r="AE5" i="2"/>
  <c r="AE5" i="3" s="1"/>
  <c r="AD5" i="2"/>
  <c r="AC5" i="3" s="1"/>
  <c r="AC5" i="2"/>
  <c r="AB5" i="2"/>
  <c r="AA5" i="2"/>
  <c r="Z5" i="2"/>
  <c r="Z5" i="3" s="1"/>
  <c r="Y5" i="2"/>
  <c r="Y5" i="3" s="1"/>
  <c r="X5" i="2"/>
  <c r="W5" i="2"/>
  <c r="W5" i="3" s="1"/>
  <c r="V5" i="2"/>
  <c r="V5" i="3" s="1"/>
  <c r="U5" i="2"/>
  <c r="T5" i="2"/>
  <c r="T5" i="3" s="1"/>
  <c r="S5" i="2"/>
  <c r="R5" i="2"/>
  <c r="Q5" i="3" s="1"/>
  <c r="Q5" i="2"/>
  <c r="P5" i="2"/>
  <c r="P5" i="3" s="1"/>
  <c r="O5" i="2"/>
  <c r="N5" i="2"/>
  <c r="N5" i="3" s="1"/>
  <c r="M5" i="2"/>
  <c r="L5" i="2"/>
  <c r="M5" i="3" s="1"/>
  <c r="K5" i="2"/>
  <c r="K5" i="3" s="1"/>
  <c r="J5" i="2"/>
  <c r="J5" i="3" s="1"/>
  <c r="I5" i="2"/>
  <c r="H5" i="2"/>
  <c r="H5" i="3" s="1"/>
  <c r="G5" i="2"/>
  <c r="G5" i="3" s="1"/>
  <c r="F5" i="2"/>
  <c r="E5" i="3" s="1"/>
  <c r="E5" i="2"/>
  <c r="D5" i="2"/>
  <c r="C5" i="2"/>
  <c r="D5" i="3" s="1"/>
  <c r="BC4" i="2"/>
  <c r="BC4" i="3" s="1"/>
  <c r="BB4" i="2"/>
  <c r="BA4" i="2"/>
  <c r="AZ4" i="2"/>
  <c r="AY4" i="2"/>
  <c r="AX4" i="2"/>
  <c r="AW4" i="2"/>
  <c r="AV4" i="2"/>
  <c r="AU4" i="2"/>
  <c r="AU4" i="3" s="1"/>
  <c r="AT4" i="2"/>
  <c r="AT4" i="3" s="1"/>
  <c r="AS4" i="2"/>
  <c r="AR4" i="2"/>
  <c r="AR4" i="3" s="1"/>
  <c r="AQ4" i="2"/>
  <c r="AQ4" i="3" s="1"/>
  <c r="AP4" i="2"/>
  <c r="AO4" i="2"/>
  <c r="AO4" i="3" s="1"/>
  <c r="AN4" i="2"/>
  <c r="AM4" i="2"/>
  <c r="AN4" i="3" s="1"/>
  <c r="AL4" i="2"/>
  <c r="AK4" i="2"/>
  <c r="AK4" i="3" s="1"/>
  <c r="AJ4" i="2"/>
  <c r="AI4" i="2"/>
  <c r="AI4" i="3" s="1"/>
  <c r="AH4" i="2"/>
  <c r="AG4" i="2"/>
  <c r="AF4" i="2"/>
  <c r="AF4" i="3" s="1"/>
  <c r="AE4" i="2"/>
  <c r="AE4" i="3" s="1"/>
  <c r="AD4" i="2"/>
  <c r="AC4" i="2"/>
  <c r="AC4" i="3" s="1"/>
  <c r="AB4" i="2"/>
  <c r="AA4" i="2"/>
  <c r="Z4" i="2"/>
  <c r="Y4" i="2"/>
  <c r="X4" i="2"/>
  <c r="W4" i="2"/>
  <c r="W4" i="3" s="1"/>
  <c r="V4" i="2"/>
  <c r="V4" i="3" s="1"/>
  <c r="U4" i="2"/>
  <c r="T4" i="2"/>
  <c r="T4" i="3" s="1"/>
  <c r="S4" i="2"/>
  <c r="S4" i="3" s="1"/>
  <c r="R4" i="2"/>
  <c r="Q4" i="2"/>
  <c r="Q4" i="3" s="1"/>
  <c r="P4" i="2"/>
  <c r="O4" i="2"/>
  <c r="N4" i="2"/>
  <c r="M4" i="2"/>
  <c r="L4" i="2"/>
  <c r="K4" i="2"/>
  <c r="K4" i="3" s="1"/>
  <c r="J4" i="2"/>
  <c r="J4" i="3" s="1"/>
  <c r="I4" i="2"/>
  <c r="H4" i="2"/>
  <c r="H4" i="3" s="1"/>
  <c r="G4" i="2"/>
  <c r="G4" i="3" s="1"/>
  <c r="F4" i="2"/>
  <c r="E4" i="2"/>
  <c r="E4" i="3" s="1"/>
  <c r="D4" i="2"/>
  <c r="C4" i="2"/>
  <c r="BC3" i="2"/>
  <c r="BC3" i="3" s="1"/>
  <c r="BB3" i="2"/>
  <c r="BA3" i="2"/>
  <c r="AZ3" i="2"/>
  <c r="AZ3" i="3" s="1"/>
  <c r="AY3" i="2"/>
  <c r="AX3" i="2"/>
  <c r="AX3" i="3" s="1"/>
  <c r="AW3" i="2"/>
  <c r="AV3" i="2"/>
  <c r="AU3" i="3" s="1"/>
  <c r="AU3" i="2"/>
  <c r="AT3" i="2"/>
  <c r="AT3" i="3" s="1"/>
  <c r="AS3" i="2"/>
  <c r="AR3" i="2"/>
  <c r="AR3" i="3" s="1"/>
  <c r="AQ3" i="2"/>
  <c r="AQ3" i="3" s="1"/>
  <c r="AP3" i="2"/>
  <c r="AO3" i="2"/>
  <c r="AO3" i="3" s="1"/>
  <c r="AN3" i="2"/>
  <c r="AN3" i="3" s="1"/>
  <c r="AM3" i="2"/>
  <c r="AL3" i="2"/>
  <c r="AL3" i="3" s="1"/>
  <c r="AK3" i="2"/>
  <c r="AJ3" i="2"/>
  <c r="AK3" i="3" s="1"/>
  <c r="AI3" i="2"/>
  <c r="AH3" i="2"/>
  <c r="AG3" i="2"/>
  <c r="AF3" i="2"/>
  <c r="AF3" i="3" s="1"/>
  <c r="AE3" i="2"/>
  <c r="AE3" i="3" s="1"/>
  <c r="AD3" i="2"/>
  <c r="AC3" i="2"/>
  <c r="AC3" i="3" s="1"/>
  <c r="AB3" i="2"/>
  <c r="AB3" i="3" s="1"/>
  <c r="AA3" i="2"/>
  <c r="Z3" i="2"/>
  <c r="Z3" i="3" s="1"/>
  <c r="Y3" i="2"/>
  <c r="X3" i="2"/>
  <c r="W3" i="3" s="1"/>
  <c r="W3" i="2"/>
  <c r="V3" i="2"/>
  <c r="U3" i="2"/>
  <c r="T3" i="2"/>
  <c r="T3" i="3" s="1"/>
  <c r="S3" i="2"/>
  <c r="S3" i="3" s="1"/>
  <c r="R3" i="2"/>
  <c r="Q3" i="2"/>
  <c r="Q3" i="3" s="1"/>
  <c r="P3" i="2"/>
  <c r="P3" i="3" s="1"/>
  <c r="O3" i="2"/>
  <c r="N3" i="2"/>
  <c r="N3" i="3" s="1"/>
  <c r="M3" i="2"/>
  <c r="L3" i="2"/>
  <c r="M3" i="3" s="1"/>
  <c r="K3" i="2"/>
  <c r="K3" i="3" s="1"/>
  <c r="J3" i="2"/>
  <c r="I3" i="2"/>
  <c r="H3" i="2"/>
  <c r="H3" i="3" s="1"/>
  <c r="G3" i="2"/>
  <c r="G3" i="3" s="1"/>
  <c r="F3" i="2"/>
  <c r="E3" i="2"/>
  <c r="D3" i="2"/>
  <c r="D3" i="3" s="1"/>
  <c r="C3" i="2"/>
  <c r="B3" i="2"/>
  <c r="B3" i="3" s="1"/>
  <c r="B4" i="2"/>
  <c r="B5" i="2"/>
  <c r="B6" i="2"/>
  <c r="B7" i="2"/>
  <c r="B7" i="3" s="1"/>
  <c r="B8" i="2"/>
  <c r="B9" i="2"/>
  <c r="B10" i="2"/>
  <c r="B10" i="3" s="1"/>
  <c r="B11" i="2"/>
  <c r="B11" i="3" s="1"/>
  <c r="B12" i="2"/>
  <c r="B13" i="2"/>
  <c r="B14" i="2"/>
  <c r="B14" i="3" s="1"/>
  <c r="B15" i="2"/>
  <c r="B15" i="3" s="1"/>
  <c r="B16" i="2"/>
  <c r="B17" i="2"/>
  <c r="B18" i="2"/>
  <c r="B18" i="3" s="1"/>
  <c r="B19" i="2"/>
  <c r="B19" i="3" s="1"/>
  <c r="B20" i="2"/>
  <c r="B21" i="2"/>
  <c r="B22" i="2"/>
  <c r="B22" i="3" s="1"/>
  <c r="B23" i="2"/>
  <c r="B23" i="3" s="1"/>
  <c r="B24" i="2"/>
  <c r="B25" i="2"/>
  <c r="B25" i="3" s="1"/>
  <c r="B26" i="2"/>
  <c r="B26" i="3" s="1"/>
  <c r="AB5" i="3" l="1"/>
  <c r="AB14" i="3"/>
  <c r="AB10" i="3"/>
  <c r="AB26" i="3"/>
  <c r="Y9" i="3"/>
  <c r="Y17" i="3"/>
  <c r="Y4" i="3"/>
  <c r="J10" i="3"/>
  <c r="J11" i="3"/>
  <c r="AW4" i="3"/>
  <c r="V12" i="3"/>
  <c r="V20" i="3"/>
  <c r="P4" i="3"/>
  <c r="P21" i="3"/>
  <c r="N24" i="3"/>
  <c r="B16" i="3"/>
  <c r="B4" i="3"/>
  <c r="AZ4" i="3"/>
  <c r="J6" i="3"/>
  <c r="AE13" i="3"/>
  <c r="AB16" i="3"/>
  <c r="G17" i="3"/>
  <c r="J18" i="3"/>
  <c r="AB20" i="3"/>
  <c r="AZ20" i="3"/>
  <c r="D24" i="3"/>
  <c r="AB24" i="3"/>
  <c r="AF24" i="3"/>
  <c r="AR24" i="3"/>
  <c r="AI3" i="3"/>
  <c r="B12" i="3"/>
  <c r="Y3" i="3"/>
  <c r="AW3" i="3"/>
  <c r="D4" i="3"/>
  <c r="AB4" i="3"/>
  <c r="S5" i="3"/>
  <c r="AK7" i="3"/>
  <c r="AB8" i="3"/>
  <c r="M11" i="3"/>
  <c r="D12" i="3"/>
  <c r="AZ12" i="3"/>
  <c r="J3" i="3"/>
  <c r="AH3" i="3"/>
  <c r="AQ6" i="3"/>
  <c r="AN9" i="3"/>
  <c r="S10" i="3"/>
  <c r="P13" i="3"/>
  <c r="AQ14" i="3"/>
  <c r="AN21" i="3"/>
  <c r="AL20" i="3"/>
  <c r="B8" i="3"/>
  <c r="G9" i="3"/>
  <c r="BC9" i="3"/>
  <c r="AH10" i="3"/>
  <c r="J14" i="3"/>
  <c r="AK15" i="3"/>
  <c r="N4" i="3"/>
  <c r="Z4" i="3"/>
  <c r="AL4" i="3"/>
  <c r="AX4" i="3"/>
  <c r="J8" i="3"/>
  <c r="Z8" i="3"/>
  <c r="AH8" i="3"/>
  <c r="AX8" i="3"/>
  <c r="M9" i="3"/>
  <c r="AK9" i="3"/>
  <c r="J12" i="3"/>
  <c r="Z12" i="3"/>
  <c r="AH12" i="3"/>
  <c r="AX12" i="3"/>
  <c r="M13" i="3"/>
  <c r="AK13" i="3"/>
  <c r="J16" i="3"/>
  <c r="Z16" i="3"/>
  <c r="AH16" i="3"/>
  <c r="AX16" i="3"/>
  <c r="M17" i="3"/>
  <c r="D18" i="3"/>
  <c r="P18" i="3"/>
  <c r="AI19" i="3"/>
  <c r="N20" i="3"/>
  <c r="AT20" i="3"/>
  <c r="AR22" i="3"/>
  <c r="K23" i="3"/>
  <c r="V24" i="3"/>
  <c r="AO25" i="3"/>
  <c r="BA25" i="3"/>
  <c r="T26" i="3"/>
  <c r="AF26" i="3"/>
  <c r="AQ5" i="3"/>
  <c r="V6" i="3"/>
  <c r="AT6" i="3"/>
  <c r="Y7" i="3"/>
  <c r="AW7" i="3"/>
  <c r="P8" i="3"/>
  <c r="AN8" i="3"/>
  <c r="S9" i="3"/>
  <c r="AQ9" i="3"/>
  <c r="V10" i="3"/>
  <c r="AT10" i="3"/>
  <c r="Y11" i="3"/>
  <c r="AW11" i="3"/>
  <c r="P12" i="3"/>
  <c r="AN12" i="3"/>
  <c r="S13" i="3"/>
  <c r="AQ13" i="3"/>
  <c r="V14" i="3"/>
  <c r="AT14" i="3"/>
  <c r="Y15" i="3"/>
  <c r="AW15" i="3"/>
  <c r="P16" i="3"/>
  <c r="AN16" i="3"/>
  <c r="S17" i="3"/>
  <c r="AQ17" i="3"/>
  <c r="BC17" i="3"/>
  <c r="V18" i="3"/>
  <c r="AH18" i="3"/>
  <c r="AT18" i="3"/>
  <c r="M19" i="3"/>
  <c r="Y19" i="3"/>
  <c r="AK19" i="3"/>
  <c r="AW19" i="3"/>
  <c r="D20" i="3"/>
  <c r="G21" i="3"/>
  <c r="S21" i="3"/>
  <c r="AE21" i="3"/>
  <c r="AQ21" i="3"/>
  <c r="BC21" i="3"/>
  <c r="J22" i="3"/>
  <c r="V22" i="3"/>
  <c r="AH22" i="3"/>
  <c r="AT22" i="3"/>
  <c r="M23" i="3"/>
  <c r="Y23" i="3"/>
  <c r="AK23" i="3"/>
  <c r="AW23" i="3"/>
  <c r="AN24" i="3"/>
  <c r="AZ24" i="3"/>
  <c r="G25" i="3"/>
  <c r="S25" i="3"/>
  <c r="AE25" i="3"/>
  <c r="AQ25" i="3"/>
  <c r="BC25" i="3"/>
  <c r="J26" i="3"/>
  <c r="V26" i="3"/>
  <c r="AT26" i="3"/>
  <c r="B21" i="3"/>
  <c r="B17" i="3"/>
  <c r="B13" i="3"/>
  <c r="B9" i="3"/>
  <c r="B5" i="3"/>
  <c r="AZ5" i="3"/>
  <c r="G6" i="3"/>
  <c r="AE6" i="3"/>
  <c r="BC6" i="3"/>
  <c r="V7" i="3"/>
  <c r="AT7" i="3"/>
  <c r="Y8" i="3"/>
  <c r="AW8" i="3"/>
  <c r="D9" i="3"/>
  <c r="AB9" i="3"/>
  <c r="AZ9" i="3"/>
  <c r="G10" i="3"/>
  <c r="AE10" i="3"/>
  <c r="BC10" i="3"/>
  <c r="V11" i="3"/>
  <c r="AT11" i="3"/>
  <c r="Y12" i="3"/>
  <c r="AW12" i="3"/>
  <c r="D13" i="3"/>
  <c r="AB13" i="3"/>
  <c r="AZ13" i="3"/>
  <c r="G14" i="3"/>
  <c r="AE14" i="3"/>
  <c r="BC14" i="3"/>
  <c r="V15" i="3"/>
  <c r="AT15" i="3"/>
  <c r="Y16" i="3"/>
  <c r="AW16" i="3"/>
  <c r="D17" i="3"/>
  <c r="AB17" i="3"/>
  <c r="AZ17" i="3"/>
  <c r="G18" i="3"/>
  <c r="S18" i="3"/>
  <c r="AE18" i="3"/>
  <c r="AQ18" i="3"/>
  <c r="BC18" i="3"/>
  <c r="V19" i="3"/>
  <c r="AH19" i="3"/>
  <c r="AT19" i="3"/>
  <c r="M20" i="3"/>
  <c r="Y20" i="3"/>
  <c r="AK20" i="3"/>
  <c r="AW20" i="3"/>
  <c r="D21" i="3"/>
  <c r="AB21" i="3"/>
  <c r="AZ21" i="3"/>
  <c r="G22" i="3"/>
  <c r="S22" i="3"/>
  <c r="AE22" i="3"/>
  <c r="AQ22" i="3"/>
  <c r="BC22" i="3"/>
  <c r="J23" i="3"/>
  <c r="V23" i="3"/>
  <c r="AH23" i="3"/>
  <c r="M24" i="3"/>
  <c r="Y24" i="3"/>
  <c r="AK24" i="3"/>
  <c r="AW24" i="3"/>
  <c r="D25" i="3"/>
  <c r="AB25" i="3"/>
  <c r="AN25" i="3"/>
  <c r="AZ25" i="3"/>
  <c r="G26" i="3"/>
  <c r="S26" i="3"/>
  <c r="AE26" i="3"/>
  <c r="AQ26" i="3"/>
  <c r="BC26" i="3"/>
  <c r="B24" i="3"/>
  <c r="B20" i="3"/>
  <c r="BA5" i="3"/>
  <c r="K7" i="3"/>
  <c r="W7" i="3"/>
  <c r="AI7" i="3"/>
  <c r="AU7" i="3"/>
  <c r="E9" i="3"/>
  <c r="Q9" i="3"/>
  <c r="AC9" i="3"/>
  <c r="AO9" i="3"/>
  <c r="BA9" i="3"/>
  <c r="K11" i="3"/>
  <c r="W11" i="3"/>
  <c r="AI11" i="3"/>
  <c r="AU11" i="3"/>
  <c r="E13" i="3"/>
  <c r="Q13" i="3"/>
  <c r="AC13" i="3"/>
  <c r="AO13" i="3"/>
  <c r="BA13" i="3"/>
  <c r="K15" i="3"/>
  <c r="W15" i="3"/>
  <c r="AI15" i="3"/>
  <c r="AU15" i="3"/>
  <c r="E17" i="3"/>
  <c r="Q17" i="3"/>
  <c r="AC17" i="3"/>
  <c r="AK17" i="3"/>
  <c r="AW17" i="3"/>
  <c r="G19" i="3"/>
  <c r="S19" i="3"/>
  <c r="W19" i="3"/>
  <c r="AE19" i="3"/>
  <c r="AQ19" i="3"/>
  <c r="AU19" i="3"/>
  <c r="BC19" i="3"/>
  <c r="J20" i="3"/>
  <c r="Z20" i="3"/>
  <c r="AH20" i="3"/>
  <c r="AX20" i="3"/>
  <c r="M21" i="3"/>
  <c r="Y21" i="3"/>
  <c r="AK21" i="3"/>
  <c r="AW21" i="3"/>
  <c r="G23" i="3"/>
  <c r="S23" i="3"/>
  <c r="W23" i="3"/>
  <c r="AE23" i="3"/>
  <c r="AQ23" i="3"/>
  <c r="AU23" i="3"/>
  <c r="BC23" i="3"/>
  <c r="J24" i="3"/>
  <c r="Z24" i="3"/>
  <c r="AH24" i="3"/>
  <c r="AX24" i="3"/>
  <c r="M25" i="3"/>
  <c r="Y25" i="3"/>
  <c r="AK25" i="3"/>
  <c r="AW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</author>
  </authors>
  <commentList>
    <comment ref="D2" authorId="0" shapeId="0" xr:uid="{C06AC189-ECB8-4DCE-99CA-49007A2C1ECF}">
      <text>
        <r>
          <rPr>
            <b/>
            <sz val="9"/>
            <color indexed="81"/>
            <rFont val="Tahoma"/>
            <family val="2"/>
          </rPr>
          <t>HE:</t>
        </r>
        <r>
          <rPr>
            <sz val="9"/>
            <color indexed="81"/>
            <rFont val="Tahoma"/>
            <family val="2"/>
          </rPr>
          <t xml:space="preserve">
Excess Money Growth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tc={DC801A42-CF99-45B1-B09F-E8EF6B70FB35}</author>
  </authors>
  <commentList>
    <comment ref="B2" authorId="0" shapeId="0" xr:uid="{DC801A42-CF99-45B1-B09F-E8EF6B70F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Ngdp g</t>
      </text>
    </comment>
  </commentList>
</comments>
</file>

<file path=xl/sharedStrings.xml><?xml version="1.0" encoding="utf-8"?>
<sst xmlns="http://schemas.openxmlformats.org/spreadsheetml/2006/main" count="330" uniqueCount="29">
  <si>
    <t>Date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</si>
  <si>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</si>
  <si>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</si>
  <si>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</si>
  <si>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</si>
  <si>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</si>
  <si>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</si>
  <si>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</si>
  <si>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</si>
  <si>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</si>
  <si>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</si>
  <si>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</si>
  <si>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</si>
  <si>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Russia</t>
  </si>
  <si>
    <t>SouthAfrica</t>
  </si>
  <si>
    <t>SouthKorea</t>
  </si>
  <si>
    <t>Turkiye</t>
  </si>
  <si>
    <t>UK</t>
  </si>
  <si>
    <t>US</t>
  </si>
  <si>
    <t>Year</t>
  </si>
  <si>
    <t>GDP</t>
  </si>
  <si>
    <t>Real</t>
  </si>
  <si>
    <t>M3</t>
  </si>
  <si>
    <t>DATE</t>
  </si>
  <si>
    <t>YEAR</t>
  </si>
  <si>
    <t>Deflator</t>
  </si>
  <si>
    <t>RealGDP</t>
  </si>
  <si>
    <t>M3LogDiff</t>
  </si>
  <si>
    <t>NGDPg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</si>
</sst>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8" x14ac:knownFonts="1">
    <font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4" fillId="0" borderId="0"/>
    <xf numFmtId="0" fontId="2" fillId="0" borderId="0"/>
  </cellStyleXfs>
  <cellXfs count="17">
    <xf numFmtId="0" fontId="0" fillId="0" borderId="0" xfId="0"/>
    <xf numFmtId="0" fontId="1" fillId="0" borderId="0" xfId="1"/>
    <xf numFmtId="1" fontId="1" fillId="0" borderId="0" xfId="1" applyNumberFormat="1"/>
    <xf numFmtId="165" fontId="0" fillId="0" borderId="0" xfId="0" applyNumberFormat="1"/>
    <xf numFmtId="165" fontId="3" fillId="0" borderId="0" xfId="2" applyNumberFormat="1" applyFont="1" applyFill="1" applyAlignment="1">
      <alignment vertical="center" wrapText="1"/>
    </xf>
    <xf numFmtId="1" fontId="5" fillId="0" borderId="0" xfId="3" applyNumberFormat="1" applyFont="1" applyAlignment="1">
      <alignment horizontal="center" vertical="center"/>
    </xf>
    <xf numFmtId="165" fontId="5" fillId="0" borderId="0" xfId="3" applyNumberFormat="1" applyFont="1"/>
    <xf numFmtId="0" fontId="4" fillId="0" borderId="0" xfId="3"/>
    <xf numFmtId="0" fontId="2" fillId="0" borderId="0" xfId="4"/>
    <xf numFmtId="165" fontId="4" fillId="0" borderId="0" xfId="3" applyNumberFormat="1"/>
    <xf numFmtId="1" fontId="5" fillId="0" borderId="0" xfId="3" applyNumberFormat="1" applyFont="1" applyAlignment="1">
      <alignment horizontal="right" vertical="center"/>
    </xf>
    <xf numFmtId="1" fontId="5" fillId="2" borderId="0" xfId="3" applyNumberFormat="1" applyFont="1" applyFill="1" applyAlignment="1">
      <alignment horizontal="center" vertical="center"/>
    </xf>
    <xf numFmtId="165" fontId="5" fillId="2" borderId="0" xfId="3" applyNumberFormat="1" applyFont="1" applyFill="1"/>
    <xf numFmtId="0" fontId="4" fillId="2" borderId="0" xfId="3" applyFill="1"/>
    <xf numFmtId="0" fontId="2" fillId="2" borderId="0" xfId="4" applyFill="1"/>
    <xf numFmtId="165" fontId="4" fillId="2" borderId="0" xfId="3" applyNumberFormat="1" applyFill="1"/>
    <xf numFmtId="1" fontId="5" fillId="2" borderId="0" xfId="3" applyNumberFormat="1" applyFont="1" applyFill="1" applyAlignment="1">
      <alignment horizontal="right" vertical="center"/>
    </xf>
  </cellXfs>
  <cellStyles count="5">
    <cellStyle name="Comma" xfId="2" builtinId="3"/>
    <cellStyle name="Normal" xfId="0" builtinId="0"/>
    <cellStyle name="Normal 2" xfId="3" xr:uid="{5ADEEDD0-2938-42CB-990C-22EA944E2B4C}"/>
    <cellStyle name="Normal 3" xfId="4" xr:uid="{FCDA0130-AAAC-46D4-8930-BD9E425A1285}"/>
    <cellStyle name="Normal 4" xfId="1" xr:uid="{FCF25020-B3EB-D44F-82F3-3505093F1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 EMK" id="{332C45D6-8C50-4969-94CB-047EFBE3A220}" userId="1f9f41022647396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8T08:22:52.75" personId="{332C45D6-8C50-4969-94CB-047EFBE3A220}" id="{DC801A42-CF99-45B1-B09F-E8EF6B70FB35}">
    <text>Ngdp 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BC7E-7DB7-44B4-AE47-6636D7B3F4DD}">
  <dimension ref="A1:BC95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baseColWidth="10" defaultColWidth="11.1640625" defaultRowHeight="15" customHeight="1" x14ac:dyDescent="0.2"/>
  <cols>
    <col min="1" max="1" width="10.6640625" style="13" customWidth="1"/>
    <col min="2" max="55" width="11" style="13" customWidth="1"/>
    <col min="56" max="16384" width="11.1640625" style="13"/>
  </cols>
  <sheetData>
    <row r="1" spans="1:55" ht="15" customHeight="1" x14ac:dyDescent="0.2">
      <c r="A1" s="11" t="s">
        <v>23</v>
      </c>
      <c r="B1" s="12" t="s">
        <v>1</v>
      </c>
      <c r="C1" s="12" t="s">
        <v>1</v>
      </c>
      <c r="D1" s="12" t="s">
        <v>1</v>
      </c>
      <c r="E1" s="12" t="s">
        <v>2</v>
      </c>
      <c r="F1" s="12" t="s">
        <v>2</v>
      </c>
      <c r="G1" s="12" t="s">
        <v>2</v>
      </c>
      <c r="H1" s="12" t="s">
        <v>3</v>
      </c>
      <c r="I1" s="12" t="s">
        <v>3</v>
      </c>
      <c r="J1" s="12" t="s">
        <v>3</v>
      </c>
      <c r="K1" s="12" t="s">
        <v>4</v>
      </c>
      <c r="L1" s="12" t="s">
        <v>4</v>
      </c>
      <c r="M1" s="12" t="s">
        <v>4</v>
      </c>
      <c r="N1" s="12" t="s">
        <v>5</v>
      </c>
      <c r="O1" s="12" t="s">
        <v>5</v>
      </c>
      <c r="P1" s="12" t="s">
        <v>5</v>
      </c>
      <c r="Q1" s="12" t="s">
        <v>6</v>
      </c>
      <c r="R1" s="12" t="s">
        <v>6</v>
      </c>
      <c r="S1" s="12" t="s">
        <v>6</v>
      </c>
      <c r="T1" s="12" t="s">
        <v>7</v>
      </c>
      <c r="U1" s="12" t="s">
        <v>7</v>
      </c>
      <c r="V1" s="12" t="s">
        <v>7</v>
      </c>
      <c r="W1" s="12" t="s">
        <v>8</v>
      </c>
      <c r="X1" s="12" t="s">
        <v>8</v>
      </c>
      <c r="Y1" s="12" t="s">
        <v>8</v>
      </c>
      <c r="Z1" s="12" t="s">
        <v>9</v>
      </c>
      <c r="AA1" s="12" t="s">
        <v>9</v>
      </c>
      <c r="AB1" s="12" t="s">
        <v>9</v>
      </c>
      <c r="AC1" s="12" t="s">
        <v>10</v>
      </c>
      <c r="AD1" s="12" t="s">
        <v>10</v>
      </c>
      <c r="AE1" s="12" t="s">
        <v>10</v>
      </c>
      <c r="AF1" s="12" t="s">
        <v>11</v>
      </c>
      <c r="AG1" s="12" t="s">
        <v>11</v>
      </c>
      <c r="AH1" s="12" t="s">
        <v>11</v>
      </c>
      <c r="AI1" s="12" t="s">
        <v>12</v>
      </c>
      <c r="AJ1" s="12" t="s">
        <v>12</v>
      </c>
      <c r="AK1" s="12" t="s">
        <v>12</v>
      </c>
      <c r="AL1" s="12" t="s">
        <v>13</v>
      </c>
      <c r="AM1" s="12" t="s">
        <v>13</v>
      </c>
      <c r="AN1" s="12" t="s">
        <v>13</v>
      </c>
      <c r="AO1" s="12" t="s">
        <v>14</v>
      </c>
      <c r="AP1" s="12" t="s">
        <v>14</v>
      </c>
      <c r="AQ1" s="12" t="s">
        <v>14</v>
      </c>
      <c r="AR1" s="12" t="s">
        <v>15</v>
      </c>
      <c r="AS1" s="12" t="s">
        <v>15</v>
      </c>
      <c r="AT1" s="12" t="s">
        <v>15</v>
      </c>
      <c r="AU1" s="12" t="s">
        <v>16</v>
      </c>
      <c r="AV1" s="12" t="s">
        <v>16</v>
      </c>
      <c r="AW1" s="12" t="s">
        <v>16</v>
      </c>
      <c r="AX1" s="12" t="s">
        <v>17</v>
      </c>
      <c r="AY1" s="12" t="s">
        <v>17</v>
      </c>
      <c r="AZ1" s="12" t="s">
        <v>17</v>
      </c>
      <c r="BA1" s="12" t="s">
        <v>18</v>
      </c>
      <c r="BB1" s="12" t="s">
        <v>18</v>
      </c>
      <c r="BC1" s="12" t="s">
        <v>18</v>
      </c>
    </row>
    <row r="2" spans="1:55" ht="15" customHeight="1" x14ac:dyDescent="0.2">
      <c r="A2" s="11" t="s">
        <v>24</v>
      </c>
      <c r="B2" s="12" t="s">
        <v>25</v>
      </c>
      <c r="C2" s="12" t="s">
        <v>26</v>
      </c>
      <c r="D2" s="12" t="s">
        <v>27</v>
      </c>
      <c r="E2" s="12" t="s">
        <v>25</v>
      </c>
      <c r="F2" s="12" t="s">
        <v>26</v>
      </c>
      <c r="G2" s="12" t="s">
        <v>27</v>
      </c>
      <c r="H2" s="12" t="s">
        <v>25</v>
      </c>
      <c r="I2" s="12" t="s">
        <v>26</v>
      </c>
      <c r="J2" s="12" t="s">
        <v>27</v>
      </c>
      <c r="K2" s="12" t="s">
        <v>25</v>
      </c>
      <c r="L2" s="12" t="s">
        <v>26</v>
      </c>
      <c r="M2" s="12" t="s">
        <v>27</v>
      </c>
      <c r="N2" s="12" t="s">
        <v>25</v>
      </c>
      <c r="O2" s="12" t="s">
        <v>26</v>
      </c>
      <c r="P2" s="12" t="s">
        <v>27</v>
      </c>
      <c r="Q2" s="12" t="s">
        <v>25</v>
      </c>
      <c r="R2" s="12" t="s">
        <v>26</v>
      </c>
      <c r="S2" s="12" t="s">
        <v>27</v>
      </c>
      <c r="T2" s="12" t="s">
        <v>25</v>
      </c>
      <c r="U2" s="12" t="s">
        <v>26</v>
      </c>
      <c r="V2" s="12" t="s">
        <v>27</v>
      </c>
      <c r="W2" s="12" t="s">
        <v>25</v>
      </c>
      <c r="X2" s="12" t="s">
        <v>26</v>
      </c>
      <c r="Y2" s="12" t="s">
        <v>27</v>
      </c>
      <c r="Z2" s="12" t="s">
        <v>25</v>
      </c>
      <c r="AA2" s="12" t="s">
        <v>26</v>
      </c>
      <c r="AB2" s="12" t="s">
        <v>27</v>
      </c>
      <c r="AC2" s="12" t="s">
        <v>25</v>
      </c>
      <c r="AD2" s="12" t="s">
        <v>26</v>
      </c>
      <c r="AE2" s="12" t="s">
        <v>27</v>
      </c>
      <c r="AF2" s="12" t="s">
        <v>25</v>
      </c>
      <c r="AG2" s="12" t="s">
        <v>26</v>
      </c>
      <c r="AH2" s="12" t="s">
        <v>27</v>
      </c>
      <c r="AI2" s="12" t="s">
        <v>25</v>
      </c>
      <c r="AJ2" s="12" t="s">
        <v>26</v>
      </c>
      <c r="AK2" s="12" t="s">
        <v>27</v>
      </c>
      <c r="AL2" s="12" t="s">
        <v>25</v>
      </c>
      <c r="AM2" s="12" t="s">
        <v>26</v>
      </c>
      <c r="AN2" s="12" t="s">
        <v>27</v>
      </c>
      <c r="AO2" s="12" t="s">
        <v>25</v>
      </c>
      <c r="AP2" s="12" t="s">
        <v>26</v>
      </c>
      <c r="AQ2" s="12" t="s">
        <v>27</v>
      </c>
      <c r="AR2" s="12" t="s">
        <v>25</v>
      </c>
      <c r="AS2" s="12" t="s">
        <v>26</v>
      </c>
      <c r="AT2" s="12" t="s">
        <v>27</v>
      </c>
      <c r="AU2" s="12" t="s">
        <v>25</v>
      </c>
      <c r="AV2" s="12" t="s">
        <v>26</v>
      </c>
      <c r="AW2" s="12" t="s">
        <v>27</v>
      </c>
      <c r="AX2" s="12" t="s">
        <v>25</v>
      </c>
      <c r="AY2" s="12" t="s">
        <v>26</v>
      </c>
      <c r="AZ2" s="12" t="s">
        <v>27</v>
      </c>
      <c r="BA2" s="12" t="s">
        <v>25</v>
      </c>
      <c r="BB2" s="12" t="s">
        <v>26</v>
      </c>
      <c r="BC2" s="12" t="s">
        <v>27</v>
      </c>
    </row>
    <row r="3" spans="1:55" ht="15" customHeight="1" x14ac:dyDescent="0.2">
      <c r="A3" s="14">
        <v>2000</v>
      </c>
      <c r="B3" s="15">
        <f>+PercentageChange!B3-PercentageChange!C3</f>
        <v>1.0319441938456464</v>
      </c>
      <c r="C3" s="15">
        <f>(LN(RawData!C4)-LN(RawData!C3))*100</f>
        <v>-0.79212800542052264</v>
      </c>
      <c r="D3" s="15">
        <f>+PercentageChange!D3-PercentageChange!C3</f>
        <v>4.4087985037165822</v>
      </c>
      <c r="E3" s="15">
        <f>+PercentageChange!E3-PercentageChange!F3</f>
        <v>2.5187617669761408</v>
      </c>
      <c r="F3" s="15">
        <f>(LN(RawData!F4)-LN(RawData!F3))*100</f>
        <v>3.846579201540834</v>
      </c>
      <c r="G3" s="15">
        <f>+PercentageChange!G3-PercentageChange!F3</f>
        <v>2.9945306591942611</v>
      </c>
      <c r="H3" s="15">
        <f>+PercentageChange!H3-PercentageChange!I3</f>
        <v>5.4545618680737817</v>
      </c>
      <c r="I3" s="15">
        <f>(LN(RawData!I4)-LN(RawData!I3))*100</f>
        <v>4.2944056049766033</v>
      </c>
      <c r="J3" s="15">
        <f>+PercentageChange!J3-PercentageChange!I3</f>
        <v>17.074495469721462</v>
      </c>
      <c r="K3" s="15">
        <f>+PercentageChange!K3-PercentageChange!L3</f>
        <v>4.281232319702255</v>
      </c>
      <c r="L3" s="15">
        <f>(LN(RawData!L4)-LN(RawData!L3))*100</f>
        <v>5.0108715317055186</v>
      </c>
      <c r="M3" s="15">
        <f>+PercentageChange!M3-PercentageChange!L3</f>
        <v>2.3368995313051144</v>
      </c>
      <c r="N3" s="15">
        <f>+PercentageChange!N3-PercentageChange!O3</f>
        <v>2.0418051741245336</v>
      </c>
      <c r="O3" s="15">
        <f>(LN(RawData!O4)-LN(RawData!O3))*100</f>
        <v>8.1488677809826271</v>
      </c>
      <c r="P3" s="15">
        <f>+PercentageChange!P3-PercentageChange!O3</f>
        <v>4.1863808965910465</v>
      </c>
      <c r="Q3" s="15">
        <f>+PercentageChange!Q3-PercentageChange!R3</f>
        <v>1.5413501838846599</v>
      </c>
      <c r="R3" s="15">
        <f>(LN(RawData!R4)-LN(RawData!R3))*100</f>
        <v>3.8486493940315114</v>
      </c>
      <c r="S3" s="15">
        <f>+PercentageChange!S3-PercentageChange!R3</f>
        <v>1.6670046192380994</v>
      </c>
      <c r="T3" s="15">
        <f>+PercentageChange!T3-PercentageChange!U3</f>
        <v>-0.49059043469839025</v>
      </c>
      <c r="U3" s="15">
        <f>(LN(RawData!U4)-LN(RawData!U3))*100</f>
        <v>2.8708955434382233</v>
      </c>
      <c r="V3" s="15">
        <f>+PercentageChange!V3-PercentageChange!U3</f>
        <v>2.6447584698313875</v>
      </c>
      <c r="W3" s="15">
        <f>+PercentageChange!W3-PercentageChange!X3</f>
        <v>3.5801124556510189</v>
      </c>
      <c r="X3" s="15">
        <f>(LN(RawData!X4)-LN(RawData!X3))*100</f>
        <v>3.7690611958645093</v>
      </c>
      <c r="Y3" s="15">
        <f>+PercentageChange!Y3-PercentageChange!X3</f>
        <v>10.8603903737297</v>
      </c>
      <c r="Z3" s="15">
        <f>+PercentageChange!Z3-PercentageChange!AA3</f>
        <v>18.604342912033189</v>
      </c>
      <c r="AA3" s="15">
        <f>(LN(RawData!AA4)-LN(RawData!AA3))*100</f>
        <v>4.8028614719250129</v>
      </c>
      <c r="AB3" s="15">
        <f>+PercentageChange!AB3-PercentageChange!AA3</f>
        <v>4.6282789736160623</v>
      </c>
      <c r="AC3" s="15">
        <f>+PercentageChange!AC3-PercentageChange!AD3</f>
        <v>1.7765239171104952</v>
      </c>
      <c r="AD3" s="15">
        <f>(LN(RawData!AD4)-LN(RawData!AD3))*100</f>
        <v>3.7170103852350422</v>
      </c>
      <c r="AE3" s="15">
        <f>+PercentageChange!AE3-PercentageChange!AD3</f>
        <v>1.7986436280345686</v>
      </c>
      <c r="AF3" s="15">
        <f>+PercentageChange!AF3-PercentageChange!AG3</f>
        <v>-1.3452683846296054</v>
      </c>
      <c r="AG3" s="15">
        <f>(LN(RawData!AG4)-LN(RawData!AG3))*100</f>
        <v>2.7271212473344519</v>
      </c>
      <c r="AH3" s="15">
        <f>+PercentageChange!AH3-PercentageChange!AG3</f>
        <v>-0.80127823071443061</v>
      </c>
      <c r="AI3" s="15">
        <f>+PercentageChange!AI3-PercentageChange!AJ3</f>
        <v>10.163526630365638</v>
      </c>
      <c r="AJ3" s="15">
        <f>(LN(RawData!AJ4)-LN(RawData!AJ3))*100</f>
        <v>4.9069020464283852</v>
      </c>
      <c r="AK3" s="15">
        <f>+PercentageChange!AK3-PercentageChange!AJ3</f>
        <v>14.349339277128692</v>
      </c>
      <c r="AL3" s="15">
        <f>+PercentageChange!AL3-PercentageChange!AM3</f>
        <v>31.989217397109115</v>
      </c>
      <c r="AM3" s="15">
        <f>(LN(RawData!AM4)-LN(RawData!AM3))*100</f>
        <v>9.5310787200972413</v>
      </c>
      <c r="AN3" s="15">
        <f>+PercentageChange!AN3-PercentageChange!AM3</f>
        <v>37.487117779154744</v>
      </c>
      <c r="AO3" s="15">
        <f>+PercentageChange!AO3-PercentageChange!AP3</f>
        <v>8.7847781749303522</v>
      </c>
      <c r="AP3" s="15">
        <f>(LN(RawData!AP4)-LN(RawData!AP3))*100</f>
        <v>4.114194333768495</v>
      </c>
      <c r="AQ3" s="15">
        <f>+PercentageChange!AQ3-PercentageChange!AP3</f>
        <v>3.9960281943560716</v>
      </c>
      <c r="AR3" s="15">
        <f>+PercentageChange!AR3-PercentageChange!AS3</f>
        <v>1.0165802741269658</v>
      </c>
      <c r="AS3" s="15">
        <f>(LN(RawData!AS4)-LN(RawData!AS3))*100</f>
        <v>8.6735644458855177</v>
      </c>
      <c r="AT3" s="15">
        <f>+PercentageChange!AT3-PercentageChange!AS3</f>
        <v>-3.0673438208840054</v>
      </c>
      <c r="AU3" s="15">
        <f>+PercentageChange!AU3-PercentageChange!AV3</f>
        <v>40.119451035983289</v>
      </c>
      <c r="AV3" s="15">
        <f>(LN(RawData!AV4)-LN(RawData!AV3))*100</f>
        <v>6.703452575496982</v>
      </c>
      <c r="AW3" s="15">
        <f>+PercentageChange!AW3-PercentageChange!AV3</f>
        <v>46.30079047390474</v>
      </c>
      <c r="AX3" s="15">
        <f>+PercentageChange!AX3-PercentageChange!AY3</f>
        <v>1.1373949357892599</v>
      </c>
      <c r="AY3" s="15">
        <f>(LN(RawData!AY4)-LN(RawData!AY3))*100</f>
        <v>4.2280709835520014</v>
      </c>
      <c r="AZ3" s="15">
        <f>+PercentageChange!AZ3-PercentageChange!AY3</f>
        <v>3.5537217149018474</v>
      </c>
      <c r="BA3" s="15">
        <f>+PercentageChange!BA3-PercentageChange!BB3</f>
        <v>2.2399205978803849</v>
      </c>
      <c r="BB3" s="15">
        <f>(LN(RawData!BB4)-LN(RawData!BB3))*100</f>
        <v>3.9966451925248947</v>
      </c>
      <c r="BC3" s="15">
        <f>+PercentageChange!BC3-PercentageChange!BB3</f>
        <v>1.9000676391879523</v>
      </c>
    </row>
    <row r="4" spans="1:55" s="15" customFormat="1" ht="15" customHeight="1" x14ac:dyDescent="0.2">
      <c r="A4" s="14">
        <v>2001</v>
      </c>
      <c r="B4" s="15">
        <f>+PercentageChange!B4-PercentageChange!C4</f>
        <v>-1.1018154729409702</v>
      </c>
      <c r="C4" s="15">
        <f>(LN(RawData!C5)-LN(RawData!C4))*100</f>
        <v>-4.5089835504928288</v>
      </c>
      <c r="D4" s="15">
        <f>+PercentageChange!D4-PercentageChange!C4</f>
        <v>-4.1957091080671916</v>
      </c>
      <c r="E4" s="15">
        <f>+PercentageChange!E4-PercentageChange!F4</f>
        <v>4.5266995949024391</v>
      </c>
      <c r="F4" s="15">
        <f>(LN(RawData!F5)-LN(RawData!F4))*100</f>
        <v>2.0048943187525481</v>
      </c>
      <c r="G4" s="15">
        <f>+PercentageChange!G4-PercentageChange!F4</f>
        <v>6.4697835766668987</v>
      </c>
      <c r="H4" s="15">
        <f>+PercentageChange!H4-PercentageChange!I4</f>
        <v>7.9043078868849648</v>
      </c>
      <c r="I4" s="15">
        <f>(LN(RawData!I5)-LN(RawData!I4))*100</f>
        <v>1.3803259188286177</v>
      </c>
      <c r="J4" s="15">
        <f>+PercentageChange!J4-PercentageChange!I4</f>
        <v>12.62675152659174</v>
      </c>
      <c r="K4" s="15">
        <f>+PercentageChange!K4-PercentageChange!L4</f>
        <v>1.5614228646445127</v>
      </c>
      <c r="L4" s="15">
        <f>(LN(RawData!L5)-LN(RawData!L4))*100</f>
        <v>1.8577348833016316</v>
      </c>
      <c r="M4" s="15">
        <f>+PercentageChange!M4-PercentageChange!L4</f>
        <v>3.5178856704863648</v>
      </c>
      <c r="N4" s="15">
        <f>+PercentageChange!N4-PercentageChange!O4</f>
        <v>2.026379013333468</v>
      </c>
      <c r="O4" s="15">
        <f>(LN(RawData!O5)-LN(RawData!O4))*100</f>
        <v>8.0064862611237686</v>
      </c>
      <c r="P4" s="15">
        <f>+PercentageChange!P4-PercentageChange!O4</f>
        <v>6.3170953960845821</v>
      </c>
      <c r="Q4" s="15">
        <f>+PercentageChange!Q4-PercentageChange!R4</f>
        <v>1.9884331658172272</v>
      </c>
      <c r="R4" s="15">
        <f>(LN(RawData!R5)-LN(RawData!R4))*100</f>
        <v>1.9643020624741325</v>
      </c>
      <c r="S4" s="15">
        <f>+PercentageChange!S4-PercentageChange!R4</f>
        <v>6.1084134695301273</v>
      </c>
      <c r="T4" s="15">
        <f>+PercentageChange!T4-PercentageChange!U4</f>
        <v>1.2965532146484549</v>
      </c>
      <c r="U4" s="15">
        <f>(LN(RawData!U5)-LN(RawData!U4))*100</f>
        <v>1.6674882969887506</v>
      </c>
      <c r="V4" s="15">
        <f>+PercentageChange!V4-PercentageChange!U4</f>
        <v>6.4052272350155093</v>
      </c>
      <c r="W4" s="15">
        <f>+PercentageChange!W4-PercentageChange!X4</f>
        <v>3.1649973608775639</v>
      </c>
      <c r="X4" s="15">
        <f>(LN(RawData!X5)-LN(RawData!X4))*100</f>
        <v>4.7112245494307814</v>
      </c>
      <c r="Y4" s="15">
        <f>+PercentageChange!Y4-PercentageChange!X4</f>
        <v>10.672512420895686</v>
      </c>
      <c r="Z4" s="15">
        <f>+PercentageChange!Z4-PercentageChange!AA4</f>
        <v>13.361889885698019</v>
      </c>
      <c r="AA4" s="15">
        <f>(LN(RawData!AA5)-LN(RawData!AA4))*100</f>
        <v>3.5786616154027229</v>
      </c>
      <c r="AB4" s="15">
        <f>+PercentageChange!AB4-PercentageChange!AA4</f>
        <v>10.141626552448457</v>
      </c>
      <c r="AC4" s="15">
        <f>+PercentageChange!AC4-PercentageChange!AD4</f>
        <v>2.9884885244339188</v>
      </c>
      <c r="AD4" s="15">
        <f>(LN(RawData!AD5)-LN(RawData!AD4))*100</f>
        <v>1.9325764164559445</v>
      </c>
      <c r="AE4" s="15">
        <f>+PercentageChange!AE4-PercentageChange!AD4</f>
        <v>6.1401391155483154</v>
      </c>
      <c r="AF4" s="15">
        <f>+PercentageChange!AF4-PercentageChange!AG4</f>
        <v>-1.0908075810817763</v>
      </c>
      <c r="AG4" s="15">
        <f>(LN(RawData!AG5)-LN(RawData!AG4))*100</f>
        <v>0.38535995995161443</v>
      </c>
      <c r="AH4" s="15">
        <f>+PercentageChange!AH4-PercentageChange!AG4</f>
        <v>1.2029399622399239</v>
      </c>
      <c r="AI4" s="15">
        <f>+PercentageChange!AI4-PercentageChange!AJ4</f>
        <v>6.2721332100217353</v>
      </c>
      <c r="AJ4" s="15">
        <f>(LN(RawData!AJ5)-LN(RawData!AJ4))*100</f>
        <v>-0.45186462544251071</v>
      </c>
      <c r="AK4" s="15">
        <f>+PercentageChange!AK4-PercentageChange!AJ4</f>
        <v>25.281144293879443</v>
      </c>
      <c r="AL4" s="15">
        <f>+PercentageChange!AL4-PercentageChange!AM4</f>
        <v>15.254613057207678</v>
      </c>
      <c r="AM4" s="15">
        <f>(LN(RawData!AM5)-LN(RawData!AM4))*100</f>
        <v>4.9742579294559164</v>
      </c>
      <c r="AN4" s="15">
        <f>+PercentageChange!AN4-PercentageChange!AM4</f>
        <v>32.429556826328024</v>
      </c>
      <c r="AO4" s="15">
        <f>+PercentageChange!AO4-PercentageChange!AP4</f>
        <v>7.5111878442395863</v>
      </c>
      <c r="AP4" s="15">
        <f>(LN(RawData!AP5)-LN(RawData!AP4))*100</f>
        <v>2.6641930948279935</v>
      </c>
      <c r="AQ4" s="15">
        <f>+PercentageChange!AQ4-PercentageChange!AP4</f>
        <v>10.878042729241422</v>
      </c>
      <c r="AR4" s="15">
        <f>+PercentageChange!AR4-PercentageChange!AS4</f>
        <v>3.4193667428276342</v>
      </c>
      <c r="AS4" s="15">
        <f>(LN(RawData!AS5)-LN(RawData!AS4))*100</f>
        <v>4.7383456853928863</v>
      </c>
      <c r="AT4" s="15">
        <f>+PercentageChange!AT4-PercentageChange!AS4</f>
        <v>4.326541668200079</v>
      </c>
      <c r="AU4" s="15">
        <f>+PercentageChange!AU4-PercentageChange!AV4</f>
        <v>42.51354435182364</v>
      </c>
      <c r="AV4" s="15">
        <f>(LN(RawData!AV5)-LN(RawData!AV4))*100</f>
        <v>-5.9219429205253249</v>
      </c>
      <c r="AW4" s="15">
        <f>+PercentageChange!AW4-PercentageChange!AV4</f>
        <v>61.603819268326809</v>
      </c>
      <c r="AX4" s="15">
        <f>+PercentageChange!AX4-PercentageChange!AY4</f>
        <v>1.4941306807727983</v>
      </c>
      <c r="AY4" s="15">
        <f>(LN(RawData!AY5)-LN(RawData!AY4))*100</f>
        <v>2.5460522998873358</v>
      </c>
      <c r="AZ4" s="15">
        <f>+PercentageChange!AZ4-PercentageChange!AY4</f>
        <v>7.1981539369112113</v>
      </c>
      <c r="BA4" s="15">
        <f>+PercentageChange!BA4-PercentageChange!BB4</f>
        <v>2.2267136093834239</v>
      </c>
      <c r="BB4" s="15">
        <f>(LN(RawData!BB5)-LN(RawData!BB4))*100</f>
        <v>0.95100195385882103</v>
      </c>
      <c r="BC4" s="15">
        <f>+PercentageChange!BC4-PercentageChange!BB4</f>
        <v>7.3993301860143745</v>
      </c>
    </row>
    <row r="5" spans="1:55" ht="15" customHeight="1" x14ac:dyDescent="0.2">
      <c r="A5" s="14">
        <v>2002</v>
      </c>
      <c r="B5" s="15">
        <f>+PercentageChange!B5-PercentageChange!C5</f>
        <v>26.662597089723761</v>
      </c>
      <c r="C5" s="15">
        <f>(LN(RawData!C6)-LN(RawData!C5))*100</f>
        <v>-11.534895475794826</v>
      </c>
      <c r="D5" s="15">
        <f>+PercentageChange!D5-PercentageChange!C5</f>
        <v>2.7314380570796715</v>
      </c>
      <c r="E5" s="15">
        <f>+PercentageChange!E5-PercentageChange!F5</f>
        <v>2.800718059194196</v>
      </c>
      <c r="F5" s="15">
        <f>(LN(RawData!F6)-LN(RawData!F5))*100</f>
        <v>3.9024864705048401</v>
      </c>
      <c r="G5" s="15">
        <f>+PercentageChange!G5-PercentageChange!F5</f>
        <v>4.5230462257396908</v>
      </c>
      <c r="H5" s="15">
        <f>+PercentageChange!H5-PercentageChange!I5</f>
        <v>9.3473150203294608</v>
      </c>
      <c r="I5" s="15">
        <f>(LN(RawData!I6)-LN(RawData!I5))*100</f>
        <v>3.0077714758814267</v>
      </c>
      <c r="J5" s="15">
        <f>+PercentageChange!J5-PercentageChange!I5</f>
        <v>6.3751724409470967</v>
      </c>
      <c r="K5" s="15">
        <f>+PercentageChange!K5-PercentageChange!L5</f>
        <v>1.2496822968824262</v>
      </c>
      <c r="L5" s="15">
        <f>(LN(RawData!L6)-LN(RawData!L5))*100</f>
        <v>2.9551572599579856</v>
      </c>
      <c r="M5" s="15">
        <f>+PercentageChange!M5-PercentageChange!L5</f>
        <v>2.819441162728431</v>
      </c>
      <c r="N5" s="15">
        <f>+PercentageChange!N5-PercentageChange!O5</f>
        <v>0.60029370488301481</v>
      </c>
      <c r="O5" s="15">
        <f>(LN(RawData!O6)-LN(RawData!O5))*100</f>
        <v>8.7402915900206324</v>
      </c>
      <c r="P5" s="15">
        <f>+PercentageChange!P5-PercentageChange!O5</f>
        <v>6.7556529926253717</v>
      </c>
      <c r="Q5" s="15">
        <f>+PercentageChange!Q5-PercentageChange!R5</f>
        <v>2.0463445587910911</v>
      </c>
      <c r="R5" s="15">
        <f>(LN(RawData!R6)-LN(RawData!R5))*100</f>
        <v>1.1291327178380328</v>
      </c>
      <c r="S5" s="15">
        <f>+PercentageChange!S5-PercentageChange!R5</f>
        <v>5.6846885191541574</v>
      </c>
      <c r="T5" s="15">
        <f>+PercentageChange!T5-PercentageChange!U5</f>
        <v>1.3687160241886431</v>
      </c>
      <c r="U5" s="15">
        <f>(LN(RawData!U6)-LN(RawData!U5))*100</f>
        <v>-0.19817006199609466</v>
      </c>
      <c r="V5" s="15">
        <f>+PercentageChange!V5-PercentageChange!U5</f>
        <v>7.0119912989882849</v>
      </c>
      <c r="W5" s="15">
        <f>+PercentageChange!W5-PercentageChange!X5</f>
        <v>3.6483159639985274</v>
      </c>
      <c r="X5" s="15">
        <f>(LN(RawData!X6)-LN(RawData!X5))*100</f>
        <v>3.7334081901697402</v>
      </c>
      <c r="Y5" s="15">
        <f>+PercentageChange!Y5-PercentageChange!X5</f>
        <v>10.898815650520532</v>
      </c>
      <c r="Z5" s="15">
        <f>+PercentageChange!Z5-PercentageChange!AA5</f>
        <v>5.7287782592517544</v>
      </c>
      <c r="AA5" s="15">
        <f>(LN(RawData!AA6)-LN(RawData!AA5))*100</f>
        <v>4.4011865202229217</v>
      </c>
      <c r="AB5" s="15">
        <f>+PercentageChange!AB5-PercentageChange!AA5</f>
        <v>3.2612481618905065</v>
      </c>
      <c r="AC5" s="15">
        <f>+PercentageChange!AC5-PercentageChange!AD5</f>
        <v>3.2218774777991399</v>
      </c>
      <c r="AD5" s="15">
        <f>(LN(RawData!AD6)-LN(RawData!AD5))*100</f>
        <v>0.25362110856512743</v>
      </c>
      <c r="AE5" s="15">
        <f>+PercentageChange!AE5-PercentageChange!AD5</f>
        <v>6.5602001284270628</v>
      </c>
      <c r="AF5" s="15">
        <f>+PercentageChange!AF5-PercentageChange!AG5</f>
        <v>-1.4007433791647372</v>
      </c>
      <c r="AG5" s="15">
        <f>(LN(RawData!AG6)-LN(RawData!AG5))*100</f>
        <v>4.1953697517982391E-2</v>
      </c>
      <c r="AH5" s="15">
        <f>+PercentageChange!AH5-PercentageChange!AG5</f>
        <v>1.8641426752143531</v>
      </c>
      <c r="AI5" s="15">
        <f>+PercentageChange!AI5-PercentageChange!AJ5</f>
        <v>5.3562796193155293</v>
      </c>
      <c r="AJ5" s="15">
        <f>(LN(RawData!AJ6)-LN(RawData!AJ5))*100</f>
        <v>-0.23686831354545745</v>
      </c>
      <c r="AK5" s="15">
        <f>+PercentageChange!AK5-PercentageChange!AJ5</f>
        <v>8.780131821530901</v>
      </c>
      <c r="AL5" s="15">
        <f>+PercentageChange!AL5-PercentageChange!AM5</f>
        <v>14.550114858315055</v>
      </c>
      <c r="AM5" s="15">
        <f>(LN(RawData!AM6)-LN(RawData!AM5))*100</f>
        <v>4.5928854611823056</v>
      </c>
      <c r="AN5" s="15">
        <f>+PercentageChange!AN5-PercentageChange!AM5</f>
        <v>22.455453817744964</v>
      </c>
      <c r="AO5" s="15">
        <f>+PercentageChange!AO5-PercentageChange!AP5</f>
        <v>11.812038235501277</v>
      </c>
      <c r="AP5" s="15">
        <f>(LN(RawData!AP6)-LN(RawData!AP5))*100</f>
        <v>3.6335539694746899</v>
      </c>
      <c r="AQ5" s="15">
        <f>+PercentageChange!AQ5-PercentageChange!AP5</f>
        <v>14.430085547256155</v>
      </c>
      <c r="AR5" s="15">
        <f>+PercentageChange!AR5-PercentageChange!AS5</f>
        <v>2.9880494631647991</v>
      </c>
      <c r="AS5" s="15">
        <f>(LN(RawData!AS6)-LN(RawData!AS5))*100</f>
        <v>7.4412821954531694</v>
      </c>
      <c r="AT5" s="15">
        <f>+PercentageChange!AT5-PercentageChange!AS5</f>
        <v>5.0494499701628115</v>
      </c>
      <c r="AU5" s="15">
        <f>+PercentageChange!AU5-PercentageChange!AV5</f>
        <v>31.899773462515313</v>
      </c>
      <c r="AV5" s="15">
        <f>(LN(RawData!AV6)-LN(RawData!AV5))*100</f>
        <v>6.2483805844046003</v>
      </c>
      <c r="AW5" s="15">
        <f>+PercentageChange!AW5-PercentageChange!AV5</f>
        <v>24.768004024906531</v>
      </c>
      <c r="AX5" s="15">
        <f>+PercentageChange!AX5-PercentageChange!AY5</f>
        <v>2.1005219601384795</v>
      </c>
      <c r="AY5" s="15">
        <f>(LN(RawData!AY6)-LN(RawData!AY5))*100</f>
        <v>1.7761188271581574</v>
      </c>
      <c r="AZ5" s="15">
        <f>+PercentageChange!AZ5-PercentageChange!AY5</f>
        <v>3.1892141167411125</v>
      </c>
      <c r="BA5" s="15">
        <f>+PercentageChange!BA5-PercentageChange!BB5</f>
        <v>1.5420438139209125</v>
      </c>
      <c r="BB5" s="15">
        <f>(LN(RawData!BB6)-LN(RawData!BB5))*100</f>
        <v>1.6861515519195791</v>
      </c>
      <c r="BC5" s="15">
        <f>+PercentageChange!BC5-PercentageChange!BB5</f>
        <v>5.5208952251932786</v>
      </c>
    </row>
    <row r="6" spans="1:55" ht="15" customHeight="1" x14ac:dyDescent="0.2">
      <c r="A6" s="14">
        <v>2003</v>
      </c>
      <c r="B6" s="15">
        <f>+PercentageChange!B6-PercentageChange!C6</f>
        <v>9.98064475308027</v>
      </c>
      <c r="C6" s="15">
        <f>(LN(RawData!C7)-LN(RawData!C6))*100</f>
        <v>8.4681538984838767</v>
      </c>
      <c r="D6" s="15">
        <f>+PercentageChange!D6-PercentageChange!C6</f>
        <v>15.214445481883843</v>
      </c>
      <c r="E6" s="15">
        <f>+PercentageChange!E6-PercentageChange!F6</f>
        <v>2.9419178285241543</v>
      </c>
      <c r="F6" s="15">
        <f>(LN(RawData!F7)-LN(RawData!F6))*100</f>
        <v>3.0438872940028006</v>
      </c>
      <c r="G6" s="15">
        <f>+PercentageChange!G6-PercentageChange!F6</f>
        <v>6.942018399768024</v>
      </c>
      <c r="H6" s="15">
        <f>+PercentageChange!H6-PercentageChange!I6</f>
        <v>13.182637823983967</v>
      </c>
      <c r="I6" s="15">
        <f>(LN(RawData!I7)-LN(RawData!I6))*100</f>
        <v>1.134370617206315</v>
      </c>
      <c r="J6" s="15">
        <f>+PercentageChange!J6-PercentageChange!I6</f>
        <v>13.117346908132177</v>
      </c>
      <c r="K6" s="15">
        <f>+PercentageChange!K6-PercentageChange!L6</f>
        <v>3.1980498701873472</v>
      </c>
      <c r="L6" s="15">
        <f>(LN(RawData!L7)-LN(RawData!L6))*100</f>
        <v>1.790263850758933</v>
      </c>
      <c r="M6" s="15">
        <f>+PercentageChange!M6-PercentageChange!L6</f>
        <v>4.0096300720593447</v>
      </c>
      <c r="N6" s="15">
        <f>+PercentageChange!N6-PercentageChange!O6</f>
        <v>2.5698718189243408</v>
      </c>
      <c r="O6" s="15">
        <f>(LN(RawData!O7)-LN(RawData!O6))*100</f>
        <v>9.5655851698722927</v>
      </c>
      <c r="P6" s="15">
        <f>+PercentageChange!P6-PercentageChange!O6</f>
        <v>8.6857707107387938</v>
      </c>
      <c r="Q6" s="15">
        <f>+PercentageChange!Q6-PercentageChange!R6</f>
        <v>1.8422933251102336</v>
      </c>
      <c r="R6" s="15">
        <f>(LN(RawData!R7)-LN(RawData!R6))*100</f>
        <v>0.81979126677786951</v>
      </c>
      <c r="S6" s="15">
        <f>+PercentageChange!S6-PercentageChange!R6</f>
        <v>6.5834454646658713</v>
      </c>
      <c r="T6" s="15">
        <f>+PercentageChange!T6-PercentageChange!U6</f>
        <v>1.3126010996494131</v>
      </c>
      <c r="U6" s="15">
        <f>(LN(RawData!U7)-LN(RawData!U6))*100</f>
        <v>-0.70257900244072857</v>
      </c>
      <c r="V6" s="15">
        <f>+PercentageChange!V6-PercentageChange!U6</f>
        <v>8.1058157338844694</v>
      </c>
      <c r="W6" s="15">
        <f>+PercentageChange!W6-PercentageChange!X6</f>
        <v>3.7948732272223396</v>
      </c>
      <c r="X6" s="15">
        <f>(LN(RawData!X7)-LN(RawData!X6))*100</f>
        <v>7.5667440683762521</v>
      </c>
      <c r="Y6" s="15">
        <f>+PercentageChange!Y6-PercentageChange!X6</f>
        <v>4.6727297333756468</v>
      </c>
      <c r="Z6" s="15">
        <f>+PercentageChange!Z6-PercentageChange!AA6</f>
        <v>5.3421604717620141</v>
      </c>
      <c r="AA6" s="15">
        <f>(LN(RawData!AA7)-LN(RawData!AA6))*100</f>
        <v>4.6696250831367081</v>
      </c>
      <c r="AB6" s="15">
        <f>+PercentageChange!AB6-PercentageChange!AA6</f>
        <v>1.5555431577542578</v>
      </c>
      <c r="AC6" s="15">
        <f>+PercentageChange!AC6-PercentageChange!AD6</f>
        <v>3.09928020049135</v>
      </c>
      <c r="AD6" s="15">
        <f>(LN(RawData!AD7)-LN(RawData!AD6))*100</f>
        <v>0.13853089241173677</v>
      </c>
      <c r="AE6" s="15">
        <f>+PercentageChange!AE6-PercentageChange!AD6</f>
        <v>7.2647058390320041</v>
      </c>
      <c r="AF6" s="15">
        <f>+PercentageChange!AF6-PercentageChange!AG6</f>
        <v>-1.6207674705178476</v>
      </c>
      <c r="AG6" s="15">
        <f>(LN(RawData!AG7)-LN(RawData!AG6))*100</f>
        <v>1.5234616659725475</v>
      </c>
      <c r="AH6" s="15">
        <f>+PercentageChange!AH6-PercentageChange!AG6</f>
        <v>-0.54593853819220328</v>
      </c>
      <c r="AI6" s="15">
        <f>+PercentageChange!AI6-PercentageChange!AJ6</f>
        <v>4.1906211879140898</v>
      </c>
      <c r="AJ6" s="15">
        <f>(LN(RawData!AJ7)-LN(RawData!AJ6))*100</f>
        <v>1.1785723381393609</v>
      </c>
      <c r="AK6" s="15">
        <f>+PercentageChange!AK6-PercentageChange!AJ6</f>
        <v>5.2992299573713098</v>
      </c>
      <c r="AL6" s="15">
        <f>+PercentageChange!AL6-PercentageChange!AM6</f>
        <v>12.801615874296246</v>
      </c>
      <c r="AM6" s="15">
        <f>(LN(RawData!AM7)-LN(RawData!AM6))*100</f>
        <v>7.0458019522476434</v>
      </c>
      <c r="AN6" s="15">
        <f>+PercentageChange!AN6-PercentageChange!AM6</f>
        <v>25.642748684252581</v>
      </c>
      <c r="AO6" s="15">
        <f>+PercentageChange!AO6-PercentageChange!AP6</f>
        <v>6.1995574216371807</v>
      </c>
      <c r="AP6" s="15">
        <f>(LN(RawData!AP7)-LN(RawData!AP6))*100</f>
        <v>2.9064267042684833</v>
      </c>
      <c r="AQ6" s="15">
        <f>+PercentageChange!AQ6-PercentageChange!AP6</f>
        <v>10.167040326691179</v>
      </c>
      <c r="AR6" s="15">
        <f>+PercentageChange!AR6-PercentageChange!AS6</f>
        <v>3.391815501048967</v>
      </c>
      <c r="AS6" s="15">
        <f>(LN(RawData!AS7)-LN(RawData!AS6))*100</f>
        <v>3.0987792338343922</v>
      </c>
      <c r="AT6" s="15">
        <f>+PercentageChange!AT6-PercentageChange!AS6</f>
        <v>4.7277591671704755</v>
      </c>
      <c r="AU6" s="15">
        <f>+PercentageChange!AU6-PercentageChange!AV6</f>
        <v>20.936328601051102</v>
      </c>
      <c r="AV6" s="15">
        <f>(LN(RawData!AV7)-LN(RawData!AV6))*100</f>
        <v>5.6032504203340494</v>
      </c>
      <c r="AW6" s="15">
        <f>+PercentageChange!AW6-PercentageChange!AV6</f>
        <v>10.98107572019611</v>
      </c>
      <c r="AX6" s="15">
        <f>+PercentageChange!AX6-PercentageChange!AY6</f>
        <v>2.3645978616155361</v>
      </c>
      <c r="AY6" s="15">
        <f>(LN(RawData!AY7)-LN(RawData!AY6))*100</f>
        <v>3.0980824943270591</v>
      </c>
      <c r="AZ6" s="15">
        <f>+PercentageChange!AZ6-PercentageChange!AY6</f>
        <v>2.7512371001499503</v>
      </c>
      <c r="BA6" s="15">
        <f>+PercentageChange!BA6-PercentageChange!BB6</f>
        <v>1.9550778965051308</v>
      </c>
      <c r="BB6" s="15">
        <f>(LN(RawData!BB7)-LN(RawData!BB6))*100</f>
        <v>2.7572422596904289</v>
      </c>
      <c r="BC6" s="15">
        <f>+PercentageChange!BC6-PercentageChange!BB6</f>
        <v>3.9672120739279393</v>
      </c>
    </row>
    <row r="7" spans="1:55" ht="15" customHeight="1" x14ac:dyDescent="0.2">
      <c r="A7" s="14">
        <v>2004</v>
      </c>
      <c r="B7" s="15">
        <f>+PercentageChange!B7-PercentageChange!C7</f>
        <v>16.858898052393911</v>
      </c>
      <c r="C7" s="15">
        <f>(LN(RawData!C8)-LN(RawData!C7))*100</f>
        <v>8.6448974127030453</v>
      </c>
      <c r="D7" s="15">
        <f>+PercentageChange!D7-PercentageChange!C7</f>
        <v>18.860404770400763</v>
      </c>
      <c r="E7" s="15">
        <f>+PercentageChange!E7-PercentageChange!F7</f>
        <v>3.1811242231075454</v>
      </c>
      <c r="F7" s="15">
        <f>(LN(RawData!F8)-LN(RawData!F7))*100</f>
        <v>4.1375329982773934</v>
      </c>
      <c r="G7" s="15">
        <f>+PercentageChange!G7-PercentageChange!F7</f>
        <v>5.7797137787707342</v>
      </c>
      <c r="H7" s="15">
        <f>+PercentageChange!H7-PercentageChange!I7</f>
        <v>7.4662668225524698</v>
      </c>
      <c r="I7" s="15">
        <f>(LN(RawData!I8)-LN(RawData!I7))*100</f>
        <v>5.6001855742209727</v>
      </c>
      <c r="J7" s="15">
        <f>+PercentageChange!J7-PercentageChange!I7</f>
        <v>14.446074325195646</v>
      </c>
      <c r="K7" s="15">
        <f>+PercentageChange!K7-PercentageChange!L7</f>
        <v>3.2088356513884975</v>
      </c>
      <c r="L7" s="15">
        <f>(LN(RawData!L8)-LN(RawData!L7))*100</f>
        <v>3.0455136671708516</v>
      </c>
      <c r="M7" s="15">
        <f>+PercentageChange!M7-PercentageChange!L7</f>
        <v>5.6182172625360849</v>
      </c>
      <c r="N7" s="15">
        <f>+PercentageChange!N7-PercentageChange!O7</f>
        <v>6.7209881258893489</v>
      </c>
      <c r="O7" s="15">
        <f>(LN(RawData!O8)-LN(RawData!O7))*100</f>
        <v>9.6342568322643984</v>
      </c>
      <c r="P7" s="15">
        <f>+PercentageChange!P7-PercentageChange!O7</f>
        <v>5.3862871273008039</v>
      </c>
      <c r="Q7" s="15">
        <f>+PercentageChange!Q7-PercentageChange!R7</f>
        <v>1.6096507719733921</v>
      </c>
      <c r="R7" s="15">
        <f>(LN(RawData!R8)-LN(RawData!R7))*100</f>
        <v>2.7904550533978778</v>
      </c>
      <c r="S7" s="15">
        <f>+PercentageChange!S7-PercentageChange!R7</f>
        <v>2.6976384780388329</v>
      </c>
      <c r="T7" s="15">
        <f>+PercentageChange!T7-PercentageChange!U7</f>
        <v>1.1094189927820963</v>
      </c>
      <c r="U7" s="15">
        <f>(LN(RawData!U8)-LN(RawData!U7))*100</f>
        <v>1.1682375854356053</v>
      </c>
      <c r="V7" s="15">
        <f>+PercentageChange!V7-PercentageChange!U7</f>
        <v>4.3198559460011055</v>
      </c>
      <c r="W7" s="15">
        <f>+PercentageChange!W7-PercentageChange!X7</f>
        <v>5.5675105879561926</v>
      </c>
      <c r="X7" s="15">
        <f>(LN(RawData!X8)-LN(RawData!X7))*100</f>
        <v>7.6247236549345843</v>
      </c>
      <c r="Y7" s="15">
        <f>+PercentageChange!Y7-PercentageChange!X7</f>
        <v>5.8355623015785341</v>
      </c>
      <c r="Z7" s="15">
        <f>+PercentageChange!Z7-PercentageChange!AA7</f>
        <v>8.2047407982528853</v>
      </c>
      <c r="AA7" s="15">
        <f>(LN(RawData!AA8)-LN(RawData!AA7))*100</f>
        <v>4.9084158519718812</v>
      </c>
      <c r="AB7" s="15">
        <f>+PercentageChange!AB7-PercentageChange!AA7</f>
        <v>2.0216318749149309</v>
      </c>
      <c r="AC7" s="15">
        <f>+PercentageChange!AC7-PercentageChange!AD7</f>
        <v>2.6351564364340163</v>
      </c>
      <c r="AD7" s="15">
        <f>(LN(RawData!AD8)-LN(RawData!AD7))*100</f>
        <v>1.4135562107977506</v>
      </c>
      <c r="AE7" s="15">
        <f>+PercentageChange!AE7-PercentageChange!AD7</f>
        <v>4.0745373206389601</v>
      </c>
      <c r="AF7" s="15">
        <f>+PercentageChange!AF7-PercentageChange!AG7</f>
        <v>-1.1311397322558037</v>
      </c>
      <c r="AG7" s="15">
        <f>(LN(RawData!AG8)-LN(RawData!AG7))*100</f>
        <v>2.1625628290465215</v>
      </c>
      <c r="AH7" s="15">
        <f>+PercentageChange!AH7-PercentageChange!AG7</f>
        <v>-1.0773301005116309</v>
      </c>
      <c r="AI7" s="15">
        <f>+PercentageChange!AI7-PercentageChange!AJ7</f>
        <v>7.8047887080458622</v>
      </c>
      <c r="AJ7" s="15">
        <f>(LN(RawData!AJ8)-LN(RawData!AJ7))*100</f>
        <v>3.5033507197088198</v>
      </c>
      <c r="AK7" s="15">
        <f>+PercentageChange!AK7-PercentageChange!AJ7</f>
        <v>3.605185368096997</v>
      </c>
      <c r="AL7" s="15">
        <f>+PercentageChange!AL7-PercentageChange!AM7</f>
        <v>18.444554601026653</v>
      </c>
      <c r="AM7" s="15">
        <f>(LN(RawData!AM8)-LN(RawData!AM7))*100</f>
        <v>6.9525576356969765</v>
      </c>
      <c r="AN7" s="15">
        <f>+PercentageChange!AN7-PercentageChange!AM7</f>
        <v>23.572656431002592</v>
      </c>
      <c r="AO7" s="15">
        <f>+PercentageChange!AO7-PercentageChange!AP7</f>
        <v>5.8666674197535684</v>
      </c>
      <c r="AP7" s="15">
        <f>(LN(RawData!AP8)-LN(RawData!AP7))*100</f>
        <v>4.4538853542995582</v>
      </c>
      <c r="AQ7" s="15">
        <f>+PercentageChange!AQ7-PercentageChange!AP7</f>
        <v>8.022876017198044</v>
      </c>
      <c r="AR7" s="15">
        <f>+PercentageChange!AR7-PercentageChange!AS7</f>
        <v>3.0799588339533557</v>
      </c>
      <c r="AS7" s="15">
        <f>(LN(RawData!AS8)-LN(RawData!AS7))*100</f>
        <v>5.0668317080727832</v>
      </c>
      <c r="AT7" s="15">
        <f>+PercentageChange!AT7-PercentageChange!AS7</f>
        <v>0.86628054119444187</v>
      </c>
      <c r="AU7" s="15">
        <f>+PercentageChange!AU7-PercentageChange!AV7</f>
        <v>11.713848198005294</v>
      </c>
      <c r="AV7" s="15">
        <f>(LN(RawData!AV8)-LN(RawData!AV7))*100</f>
        <v>9.345333319667759</v>
      </c>
      <c r="AW7" s="15">
        <f>+PercentageChange!AW7-PercentageChange!AV7</f>
        <v>11.752635337558459</v>
      </c>
      <c r="AX7" s="15">
        <f>+PercentageChange!AX7-PercentageChange!AY7</f>
        <v>2.5863598725003101</v>
      </c>
      <c r="AY7" s="15">
        <f>(LN(RawData!AY8)-LN(RawData!AY7))*100</f>
        <v>2.3975248508421032</v>
      </c>
      <c r="AZ7" s="15">
        <f>+PercentageChange!AZ7-PercentageChange!AY7</f>
        <v>7.4331559603971087</v>
      </c>
      <c r="BA7" s="15">
        <f>+PercentageChange!BA7-PercentageChange!BB7</f>
        <v>2.6535670220326324</v>
      </c>
      <c r="BB7" s="15">
        <f>(LN(RawData!BB8)-LN(RawData!BB7))*100</f>
        <v>3.7755907118292242</v>
      </c>
      <c r="BC7" s="15">
        <f>+PercentageChange!BC7-PercentageChange!BB7</f>
        <v>0.8747536442530901</v>
      </c>
    </row>
    <row r="8" spans="1:55" ht="15" customHeight="1" x14ac:dyDescent="0.2">
      <c r="A8" s="14">
        <v>2005</v>
      </c>
      <c r="B8" s="15">
        <f>+PercentageChange!B8-PercentageChange!C8</f>
        <v>9.8192487400570627</v>
      </c>
      <c r="C8" s="15">
        <f>(LN(RawData!C9)-LN(RawData!C8))*100</f>
        <v>8.4815851186977653</v>
      </c>
      <c r="D8" s="15">
        <f>+PercentageChange!D8-PercentageChange!C8</f>
        <v>10.579888210000377</v>
      </c>
      <c r="E8" s="15">
        <f>+PercentageChange!E8-PercentageChange!F8</f>
        <v>3.7541507220915094</v>
      </c>
      <c r="F8" s="15">
        <f>(LN(RawData!F9)-LN(RawData!F8))*100</f>
        <v>3.1054181242975432</v>
      </c>
      <c r="G8" s="15">
        <f>+PercentageChange!G8-PercentageChange!F8</f>
        <v>4.9016277185613077</v>
      </c>
      <c r="H8" s="15">
        <f>+PercentageChange!H8-PercentageChange!I8</f>
        <v>7.1680687095714291</v>
      </c>
      <c r="I8" s="15">
        <f>(LN(RawData!I9)-LN(RawData!I8))*100</f>
        <v>3.1519326354729316</v>
      </c>
      <c r="J8" s="15">
        <f>+PercentageChange!J8-PercentageChange!I8</f>
        <v>12.104679242951732</v>
      </c>
      <c r="K8" s="15">
        <f>+PercentageChange!K8-PercentageChange!L8</f>
        <v>3.0690574214670363</v>
      </c>
      <c r="L8" s="15">
        <f>(LN(RawData!L9)-LN(RawData!L8))*100</f>
        <v>3.159996383286412</v>
      </c>
      <c r="M8" s="15">
        <f>+PercentageChange!M8-PercentageChange!L8</f>
        <v>6.2185080712943375</v>
      </c>
      <c r="N8" s="15">
        <f>+PercentageChange!N8-PercentageChange!O8</f>
        <v>3.8294748706260151</v>
      </c>
      <c r="O8" s="15">
        <f>(LN(RawData!O9)-LN(RawData!O8))*100</f>
        <v>10.790859283912724</v>
      </c>
      <c r="P8" s="15">
        <f>+PercentageChange!P8-PercentageChange!O8</f>
        <v>4.1905831596139365</v>
      </c>
      <c r="Q8" s="15">
        <f>+PercentageChange!Q8-PercentageChange!R8</f>
        <v>1.917832872721803</v>
      </c>
      <c r="R8" s="15">
        <f>(LN(RawData!R9)-LN(RawData!R8))*100</f>
        <v>1.6495399543423162</v>
      </c>
      <c r="S8" s="15">
        <f>+PercentageChange!S8-PercentageChange!R8</f>
        <v>5.7235935521678272</v>
      </c>
      <c r="T8" s="15">
        <f>+PercentageChange!T8-PercentageChange!U8</f>
        <v>0.40438857796445404</v>
      </c>
      <c r="U8" s="15">
        <f>(LN(RawData!U9)-LN(RawData!U8))*100</f>
        <v>0.72904317386424111</v>
      </c>
      <c r="V8" s="15">
        <f>+PercentageChange!V8-PercentageChange!U8</f>
        <v>6.6440903326459022</v>
      </c>
      <c r="W8" s="15">
        <f>+PercentageChange!W8-PercentageChange!X8</f>
        <v>5.4695581041990238</v>
      </c>
      <c r="X8" s="15">
        <f>(LN(RawData!X9)-LN(RawData!X8))*100</f>
        <v>7.6251813966976556</v>
      </c>
      <c r="Y8" s="15">
        <f>+PercentageChange!Y8-PercentageChange!X8</f>
        <v>6.2951497233839859</v>
      </c>
      <c r="Z8" s="15">
        <f>+PercentageChange!Z8-PercentageChange!AA8</f>
        <v>13.39344483855669</v>
      </c>
      <c r="AA8" s="15">
        <f>(LN(RawData!AA9)-LN(RawData!AA8))*100</f>
        <v>5.5364423459081991</v>
      </c>
      <c r="AB8" s="15">
        <f>+PercentageChange!AB8-PercentageChange!AA8</f>
        <v>6.6552912891232552</v>
      </c>
      <c r="AC8" s="15">
        <f>+PercentageChange!AC8-PercentageChange!AD8</f>
        <v>1.9906130771236263</v>
      </c>
      <c r="AD8" s="15">
        <f>(LN(RawData!AD9)-LN(RawData!AD8))*100</f>
        <v>0.81452271248707575</v>
      </c>
      <c r="AE8" s="15">
        <f>+PercentageChange!AE8-PercentageChange!AD8</f>
        <v>6.5586107940230676</v>
      </c>
      <c r="AF8" s="15">
        <f>+PercentageChange!AF8-PercentageChange!AG8</f>
        <v>-1.201203327546807</v>
      </c>
      <c r="AG8" s="15">
        <f>(LN(RawData!AG9)-LN(RawData!AG8))*100</f>
        <v>1.7878236375253209</v>
      </c>
      <c r="AH8" s="15">
        <f>+PercentageChange!AH8-PercentageChange!AG8</f>
        <v>-1.2947160187220419</v>
      </c>
      <c r="AI8" s="15">
        <f>+PercentageChange!AI8-PercentageChange!AJ8</f>
        <v>5.7183250563774379</v>
      </c>
      <c r="AJ8" s="15">
        <f>(LN(RawData!AJ9)-LN(RawData!AJ8))*100</f>
        <v>2.0912277346617714</v>
      </c>
      <c r="AK8" s="15">
        <f>+PercentageChange!AK8-PercentageChange!AJ8</f>
        <v>6.6495302254285349</v>
      </c>
      <c r="AL8" s="15">
        <f>+PercentageChange!AL8-PercentageChange!AM8</f>
        <v>17.629872367915311</v>
      </c>
      <c r="AM8" s="15">
        <f>(LN(RawData!AM9)-LN(RawData!AM8))*100</f>
        <v>6.2035066182506426</v>
      </c>
      <c r="AN8" s="15">
        <f>+PercentageChange!AN8-PercentageChange!AM8</f>
        <v>22.890363423752724</v>
      </c>
      <c r="AO8" s="15">
        <f>+PercentageChange!AO8-PercentageChange!AP8</f>
        <v>5.4459868411942836</v>
      </c>
      <c r="AP8" s="15">
        <f>(LN(RawData!AP9)-LN(RawData!AP8))*100</f>
        <v>5.1425279420211467</v>
      </c>
      <c r="AQ8" s="15">
        <f>+PercentageChange!AQ8-PercentageChange!AP8</f>
        <v>10.058180127917637</v>
      </c>
      <c r="AR8" s="15">
        <f>+PercentageChange!AR8-PercentageChange!AS8</f>
        <v>1.036016261956263</v>
      </c>
      <c r="AS8" s="15">
        <f>(LN(RawData!AS9)-LN(RawData!AS8))*100</f>
        <v>4.2183077881382758</v>
      </c>
      <c r="AT8" s="15">
        <f>+PercentageChange!AT8-PercentageChange!AS8</f>
        <v>2.5561461746768543</v>
      </c>
      <c r="AU8" s="15">
        <f>+PercentageChange!AU8-PercentageChange!AV8</f>
        <v>6.8456611597515149</v>
      </c>
      <c r="AV8" s="15">
        <f>(LN(RawData!AV9)-LN(RawData!AV8))*100</f>
        <v>8.6107096833973884</v>
      </c>
      <c r="AW8" s="15">
        <f>+PercentageChange!AW8-PercentageChange!AV8</f>
        <v>10.587039554705413</v>
      </c>
      <c r="AX8" s="15">
        <f>+PercentageChange!AX8-PercentageChange!AY8</f>
        <v>2.8930722904320305</v>
      </c>
      <c r="AY8" s="15">
        <f>(LN(RawData!AY9)-LN(RawData!AY8))*100</f>
        <v>2.7020071747895003</v>
      </c>
      <c r="AZ8" s="15">
        <f>+PercentageChange!AZ8-PercentageChange!AY8</f>
        <v>7.062625138416756</v>
      </c>
      <c r="BA8" s="15">
        <f>+PercentageChange!BA8-PercentageChange!BB8</f>
        <v>3.0873031048365362</v>
      </c>
      <c r="BB8" s="15">
        <f>(LN(RawData!BB9)-LN(RawData!BB8))*100</f>
        <v>3.4242476287730028</v>
      </c>
      <c r="BC8" s="15">
        <f>+PercentageChange!BC8-PercentageChange!BB8</f>
        <v>0.73503829632297624</v>
      </c>
    </row>
    <row r="9" spans="1:55" ht="15" customHeight="1" x14ac:dyDescent="0.2">
      <c r="A9" s="14">
        <v>2006</v>
      </c>
      <c r="B9" s="15">
        <f>+PercentageChange!B9-PercentageChange!C9</f>
        <v>12.875420928466852</v>
      </c>
      <c r="C9" s="15">
        <f>(LN(RawData!C10)-LN(RawData!C9))*100</f>
        <v>7.7397533826282228</v>
      </c>
      <c r="D9" s="15">
        <f>+PercentageChange!D9-PercentageChange!C9</f>
        <v>13.05142980499916</v>
      </c>
      <c r="E9" s="15">
        <f>+PercentageChange!E9-PercentageChange!F9</f>
        <v>4.9888501158690701</v>
      </c>
      <c r="F9" s="15">
        <f>(LN(RawData!F10)-LN(RawData!F9))*100</f>
        <v>2.7180230464995958</v>
      </c>
      <c r="G9" s="15">
        <f>+PercentageChange!G9-PercentageChange!F9</f>
        <v>7.6959757721679622</v>
      </c>
      <c r="H9" s="15">
        <f>+PercentageChange!H9-PercentageChange!I9</f>
        <v>6.5546832487655138</v>
      </c>
      <c r="I9" s="15">
        <f>(LN(RawData!I10)-LN(RawData!I9))*100</f>
        <v>3.8855153183089186</v>
      </c>
      <c r="J9" s="15">
        <f>+PercentageChange!J9-PercentageChange!I9</f>
        <v>12.79193767834883</v>
      </c>
      <c r="K9" s="15">
        <f>+PercentageChange!K9-PercentageChange!L9</f>
        <v>2.5376989810951045</v>
      </c>
      <c r="L9" s="15">
        <f>(LN(RawData!L10)-LN(RawData!L9))*100</f>
        <v>2.6037500997141194</v>
      </c>
      <c r="M9" s="15">
        <f>+PercentageChange!M9-PercentageChange!L9</f>
        <v>4.5991027461164791</v>
      </c>
      <c r="N9" s="15">
        <f>+PercentageChange!N9-PercentageChange!O9</f>
        <v>3.8514207833646452</v>
      </c>
      <c r="O9" s="15">
        <f>(LN(RawData!O10)-LN(RawData!O9))*100</f>
        <v>11.97451597903374</v>
      </c>
      <c r="P9" s="15">
        <f>+PercentageChange!P9-PercentageChange!O9</f>
        <v>3.4469337766584118</v>
      </c>
      <c r="Q9" s="15">
        <f>+PercentageChange!Q9-PercentageChange!R9</f>
        <v>2.1324286546839488</v>
      </c>
      <c r="R9" s="15">
        <f>(LN(RawData!R10)-LN(RawData!R9))*100</f>
        <v>2.4198086440943456</v>
      </c>
      <c r="S9" s="15">
        <f>+PercentageChange!S9-PercentageChange!R9</f>
        <v>5.9057508158820937</v>
      </c>
      <c r="T9" s="15">
        <f>+PercentageChange!T9-PercentageChange!U9</f>
        <v>0.39649407723238994</v>
      </c>
      <c r="U9" s="15">
        <f>(LN(RawData!U10)-LN(RawData!U9))*100</f>
        <v>3.745417213220037</v>
      </c>
      <c r="V9" s="15">
        <f>+PercentageChange!V9-PercentageChange!U9</f>
        <v>4.5801422467564024</v>
      </c>
      <c r="W9" s="15">
        <f>+PercentageChange!W9-PercentageChange!X9</f>
        <v>8.066655812210044</v>
      </c>
      <c r="X9" s="15">
        <f>(LN(RawData!X10)-LN(RawData!X9))*100</f>
        <v>7.7523221709554946</v>
      </c>
      <c r="Y9" s="15">
        <f>+PercentageChange!Y9-PercentageChange!X9</f>
        <v>9.4699923463480218</v>
      </c>
      <c r="Z9" s="15">
        <f>+PercentageChange!Z9-PercentageChange!AA9</f>
        <v>13.179484935101016</v>
      </c>
      <c r="AA9" s="15">
        <f>(LN(RawData!AA10)-LN(RawData!AA9))*100</f>
        <v>5.3549788549617006</v>
      </c>
      <c r="AB9" s="15">
        <f>+PercentageChange!AB9-PercentageChange!AA9</f>
        <v>9.0204441335622221</v>
      </c>
      <c r="AC9" s="15">
        <f>+PercentageChange!AC9-PercentageChange!AD9</f>
        <v>2.1025936734719863</v>
      </c>
      <c r="AD9" s="15">
        <f>(LN(RawData!AD10)-LN(RawData!AD9))*100</f>
        <v>1.7747965775285479</v>
      </c>
      <c r="AE9" s="15">
        <f>+PercentageChange!AE9-PercentageChange!AD9</f>
        <v>6.5507628824478914</v>
      </c>
      <c r="AF9" s="15">
        <f>+PercentageChange!AF9-PercentageChange!AG9</f>
        <v>-0.86575525824201804</v>
      </c>
      <c r="AG9" s="15">
        <f>(LN(RawData!AG10)-LN(RawData!AG9))*100</f>
        <v>1.363018679754191</v>
      </c>
      <c r="AH9" s="15">
        <f>+PercentageChange!AH9-PercentageChange!AG9</f>
        <v>-1.6849079095681674</v>
      </c>
      <c r="AI9" s="15">
        <f>+PercentageChange!AI9-PercentageChange!AJ9</f>
        <v>5.9279287592431729</v>
      </c>
      <c r="AJ9" s="15">
        <f>(LN(RawData!AJ10)-LN(RawData!AJ9))*100</f>
        <v>4.6931423757165192</v>
      </c>
      <c r="AK9" s="15">
        <f>+PercentageChange!AK9-PercentageChange!AJ9</f>
        <v>11.513753504840984</v>
      </c>
      <c r="AL9" s="15">
        <f>+PercentageChange!AL9-PercentageChange!AM9</f>
        <v>14.080840882658308</v>
      </c>
      <c r="AM9" s="15">
        <f>(LN(RawData!AM10)-LN(RawData!AM9))*100</f>
        <v>7.8811811242605501</v>
      </c>
      <c r="AN9" s="15">
        <f>+PercentageChange!AN9-PercentageChange!AM9</f>
        <v>23.420720405322903</v>
      </c>
      <c r="AO9" s="15">
        <f>+PercentageChange!AO9-PercentageChange!AP9</f>
        <v>5.8878505437462536</v>
      </c>
      <c r="AP9" s="15">
        <f>(LN(RawData!AP10)-LN(RawData!AP9))*100</f>
        <v>5.4524230647295724</v>
      </c>
      <c r="AQ9" s="15">
        <f>+PercentageChange!AQ9-PercentageChange!AP9</f>
        <v>15.331717765197617</v>
      </c>
      <c r="AR9" s="15">
        <f>+PercentageChange!AR9-PercentageChange!AS9</f>
        <v>-0.22344506509810458</v>
      </c>
      <c r="AS9" s="15">
        <f>(LN(RawData!AS10)-LN(RawData!AS9))*100</f>
        <v>5.1304396975261568</v>
      </c>
      <c r="AT9" s="15">
        <f>+PercentageChange!AT9-PercentageChange!AS9</f>
        <v>2.7374766997191102</v>
      </c>
      <c r="AU9" s="15">
        <f>+PercentageChange!AU9-PercentageChange!AV9</f>
        <v>8.962318823824944</v>
      </c>
      <c r="AV9" s="15">
        <f>(LN(RawData!AV10)-LN(RawData!AV9))*100</f>
        <v>6.7172437635658611</v>
      </c>
      <c r="AW9" s="15">
        <f>+PercentageChange!AW9-PercentageChange!AV9</f>
        <v>16.469597679472159</v>
      </c>
      <c r="AX9" s="15">
        <f>+PercentageChange!AX9-PercentageChange!AY9</f>
        <v>2.7487081446686545</v>
      </c>
      <c r="AY9" s="15">
        <f>(LN(RawData!AY10)-LN(RawData!AY9))*100</f>
        <v>2.3582488024480597</v>
      </c>
      <c r="AZ9" s="15">
        <f>+PercentageChange!AZ9-PercentageChange!AY9</f>
        <v>9.597932925397501</v>
      </c>
      <c r="BA9" s="15">
        <f>+PercentageChange!BA9-PercentageChange!BB9</f>
        <v>3.0372420034016301</v>
      </c>
      <c r="BB9" s="15">
        <f>(LN(RawData!BB10)-LN(RawData!BB9))*100</f>
        <v>2.7464763109847468</v>
      </c>
      <c r="BC9" s="15">
        <f>+PercentageChange!BC9-PercentageChange!BB9</f>
        <v>2.3716141216281628</v>
      </c>
    </row>
    <row r="10" spans="1:55" ht="16" x14ac:dyDescent="0.2">
      <c r="A10" s="14">
        <v>2007</v>
      </c>
      <c r="B10" s="15">
        <f>+PercentageChange!B10-PercentageChange!C10</f>
        <v>13.923941479081847</v>
      </c>
      <c r="C10" s="15">
        <f>(LN(RawData!C11)-LN(RawData!C10))*100</f>
        <v>8.6247885291939497</v>
      </c>
      <c r="D10" s="15">
        <f>+PercentageChange!D10-PercentageChange!C10</f>
        <v>13.230042845087553</v>
      </c>
      <c r="E10" s="15">
        <f>+PercentageChange!E10-PercentageChange!F10</f>
        <v>4.8656630825213654</v>
      </c>
      <c r="F10" s="15">
        <f>(LN(RawData!F11)-LN(RawData!F10))*100</f>
        <v>3.7039419332760559</v>
      </c>
      <c r="G10" s="15">
        <f>+PercentageChange!G10-PercentageChange!F10</f>
        <v>12.311839687522408</v>
      </c>
      <c r="H10" s="15">
        <f>+PercentageChange!H10-PercentageChange!I10</f>
        <v>6.2402222942523622</v>
      </c>
      <c r="I10" s="15">
        <f>(LN(RawData!I11)-LN(RawData!I10))*100</f>
        <v>5.892784764340675</v>
      </c>
      <c r="J10" s="15">
        <f>+PercentageChange!J10-PercentageChange!I10</f>
        <v>9.1312370390632225</v>
      </c>
      <c r="K10" s="15">
        <f>+PercentageChange!K10-PercentageChange!L10</f>
        <v>3.2472472255509643</v>
      </c>
      <c r="L10" s="15">
        <f>(LN(RawData!L11)-LN(RawData!L10))*100</f>
        <v>2.0291768540133148</v>
      </c>
      <c r="M10" s="15">
        <f>+PercentageChange!M10-PercentageChange!L10</f>
        <v>8.3514208969971193</v>
      </c>
      <c r="N10" s="15">
        <f>+PercentageChange!N10-PercentageChange!O10</f>
        <v>7.4640633414169599</v>
      </c>
      <c r="O10" s="15">
        <f>(LN(RawData!O11)-LN(RawData!O10))*100</f>
        <v>13.305131056903363</v>
      </c>
      <c r="P10" s="15">
        <f>+PercentageChange!P10-PercentageChange!O10</f>
        <v>2.865814559861235</v>
      </c>
      <c r="Q10" s="15">
        <f>+PercentageChange!Q10-PercentageChange!R10</f>
        <v>2.5245016235633244</v>
      </c>
      <c r="R10" s="15">
        <f>(LN(RawData!R11)-LN(RawData!R10))*100</f>
        <v>2.3958062321909779</v>
      </c>
      <c r="S10" s="15">
        <f>+PercentageChange!S10-PercentageChange!R10</f>
        <v>8.2283978391055612</v>
      </c>
      <c r="T10" s="15">
        <f>+PercentageChange!T10-PercentageChange!U10</f>
        <v>1.7547863764971083</v>
      </c>
      <c r="U10" s="15">
        <f>(LN(RawData!U11)-LN(RawData!U10))*100</f>
        <v>2.9330185152549149</v>
      </c>
      <c r="V10" s="15">
        <f>+PercentageChange!V10-PercentageChange!U10</f>
        <v>7.6911855560416242</v>
      </c>
      <c r="W10" s="15">
        <f>+PercentageChange!W10-PercentageChange!X10</f>
        <v>6.713905792591035</v>
      </c>
      <c r="X10" s="15">
        <f>(LN(RawData!X11)-LN(RawData!X10))*100</f>
        <v>7.3815497866672075</v>
      </c>
      <c r="Y10" s="15">
        <f>+PercentageChange!Y10-PercentageChange!X10</f>
        <v>12.366928101766561</v>
      </c>
      <c r="Z10" s="15">
        <f>+PercentageChange!Z10-PercentageChange!AA10</f>
        <v>10.66868424665941</v>
      </c>
      <c r="AA10" s="15">
        <f>(LN(RawData!AA11)-LN(RawData!AA10))*100</f>
        <v>6.1518548992623323</v>
      </c>
      <c r="AB10" s="15">
        <f>+PercentageChange!AB10-PercentageChange!AA10</f>
        <v>8.6369574106093694</v>
      </c>
      <c r="AC10" s="15">
        <f>+PercentageChange!AC10-PercentageChange!AD10</f>
        <v>2.4487662475991101</v>
      </c>
      <c r="AD10" s="15">
        <f>(LN(RawData!AD11)-LN(RawData!AD10))*100</f>
        <v>1.4761244583468169</v>
      </c>
      <c r="AE10" s="15">
        <f>+PercentageChange!AE10-PercentageChange!AD10</f>
        <v>9.1480796129497222</v>
      </c>
      <c r="AF10" s="15">
        <f>+PercentageChange!AF10-PercentageChange!AG10</f>
        <v>-0.70774214419770942</v>
      </c>
      <c r="AG10" s="15">
        <f>(LN(RawData!AG11)-LN(RawData!AG10))*100</f>
        <v>1.4730663189233439</v>
      </c>
      <c r="AH10" s="15">
        <f>+PercentageChange!AH10-PercentageChange!AG10</f>
        <v>-1.2981726287243589</v>
      </c>
      <c r="AI10" s="15">
        <f>+PercentageChange!AI10-PercentageChange!AJ10</f>
        <v>5.9473768356017587</v>
      </c>
      <c r="AJ10" s="15">
        <f>(LN(RawData!AJ11)-LN(RawData!AJ10))*100</f>
        <v>2.0565707981802461</v>
      </c>
      <c r="AK10" s="15">
        <f>+PercentageChange!AK10-PercentageChange!AJ10</f>
        <v>7.670080701741</v>
      </c>
      <c r="AL10" s="15">
        <f>+PercentageChange!AL10-PercentageChange!AM10</f>
        <v>12.963465353734449</v>
      </c>
      <c r="AM10" s="15">
        <f>(LN(RawData!AM11)-LN(RawData!AM10))*100</f>
        <v>8.1579782099915121</v>
      </c>
      <c r="AN10" s="15">
        <f>+PercentageChange!AN10-PercentageChange!AM10</f>
        <v>28.451560037171042</v>
      </c>
      <c r="AO10" s="15">
        <f>+PercentageChange!AO10-PercentageChange!AP10</f>
        <v>7.9234055566690387</v>
      </c>
      <c r="AP10" s="15">
        <f>(LN(RawData!AP11)-LN(RawData!AP10))*100</f>
        <v>5.2217370809835018</v>
      </c>
      <c r="AQ10" s="15">
        <f>+PercentageChange!AQ10-PercentageChange!AP10</f>
        <v>15.689096289400695</v>
      </c>
      <c r="AR10" s="15">
        <f>+PercentageChange!AR10-PercentageChange!AS10</f>
        <v>2.3903969442159223</v>
      </c>
      <c r="AS10" s="15">
        <f>(LN(RawData!AS11)-LN(RawData!AS10))*100</f>
        <v>5.6376065138074694</v>
      </c>
      <c r="AT10" s="15">
        <f>+PercentageChange!AT10-PercentageChange!AS10</f>
        <v>4.1675551605290906</v>
      </c>
      <c r="AU10" s="15">
        <f>+PercentageChange!AU10-PercentageChange!AV10</f>
        <v>6.0151646004889869</v>
      </c>
      <c r="AV10" s="15">
        <f>(LN(RawData!AV11)-LN(RawData!AV10))*100</f>
        <v>4.9204439598572236</v>
      </c>
      <c r="AW10" s="15">
        <f>+PercentageChange!AW10-PercentageChange!AV10</f>
        <v>11.418267393067083</v>
      </c>
      <c r="AX10" s="15">
        <f>+PercentageChange!AX10-PercentageChange!AY10</f>
        <v>2.2275208919346312</v>
      </c>
      <c r="AY10" s="15">
        <f>(LN(RawData!AY11)-LN(RawData!AY10))*100</f>
        <v>2.5865887177765501</v>
      </c>
      <c r="AZ10" s="15">
        <f>+PercentageChange!AZ10-PercentageChange!AY10</f>
        <v>10.053550454235349</v>
      </c>
      <c r="BA10" s="15">
        <f>+PercentageChange!BA10-PercentageChange!BB10</f>
        <v>2.6732077677504407</v>
      </c>
      <c r="BB10" s="15">
        <f>(LN(RawData!BB11)-LN(RawData!BB10))*100</f>
        <v>1.9840453034291272</v>
      </c>
      <c r="BC10" s="15">
        <f>+PercentageChange!BC10-PercentageChange!BB10</f>
        <v>3.9839725296612727</v>
      </c>
    </row>
    <row r="11" spans="1:55" ht="16" x14ac:dyDescent="0.2">
      <c r="A11" s="14">
        <v>2008</v>
      </c>
      <c r="B11" s="15">
        <f>+PercentageChange!B11-PercentageChange!C11</f>
        <v>20.84047872408803</v>
      </c>
      <c r="C11" s="15">
        <f>(LN(RawData!C12)-LN(RawData!C11))*100</f>
        <v>3.9770880086233973</v>
      </c>
      <c r="D11" s="15">
        <f>+PercentageChange!D11-PercentageChange!C11</f>
        <v>13.290371157306424</v>
      </c>
      <c r="E11" s="15">
        <f>+PercentageChange!E11-PercentageChange!F11</f>
        <v>4.4684817796721177</v>
      </c>
      <c r="F11" s="15">
        <f>(LN(RawData!F12)-LN(RawData!F11))*100</f>
        <v>3.5234200443376551</v>
      </c>
      <c r="G11" s="15">
        <f>+PercentageChange!G11-PercentageChange!F11</f>
        <v>14.32006877111931</v>
      </c>
      <c r="H11" s="15">
        <f>+PercentageChange!H11-PercentageChange!I11</f>
        <v>8.4144003300416159</v>
      </c>
      <c r="I11" s="15">
        <f>(LN(RawData!I12)-LN(RawData!I11))*100</f>
        <v>4.96868615074888</v>
      </c>
      <c r="J11" s="15">
        <f>+PercentageChange!J11-PercentageChange!I11</f>
        <v>12.262560776636633</v>
      </c>
      <c r="K11" s="15">
        <f>+PercentageChange!K11-PercentageChange!L11</f>
        <v>3.9185293828197132</v>
      </c>
      <c r="L11" s="15">
        <f>(LN(RawData!L12)-LN(RawData!L11))*100</f>
        <v>0.99048477395555778</v>
      </c>
      <c r="M11" s="15">
        <f>+PercentageChange!M11-PercentageChange!L11</f>
        <v>10.159365615702498</v>
      </c>
      <c r="N11" s="15">
        <f>+PercentageChange!N11-PercentageChange!O11</f>
        <v>7.5064299356174757</v>
      </c>
      <c r="O11" s="15">
        <f>(LN(RawData!O12)-LN(RawData!O11))*100</f>
        <v>9.2129480551975007</v>
      </c>
      <c r="P11" s="15">
        <f>+PercentageChange!P11-PercentageChange!O11</f>
        <v>6.1331228774438529</v>
      </c>
      <c r="Q11" s="15">
        <f>+PercentageChange!Q11-PercentageChange!R11</f>
        <v>2.3394930383805246</v>
      </c>
      <c r="R11" s="15">
        <f>(LN(RawData!R12)-LN(RawData!R11))*100</f>
        <v>0.25462152421837914</v>
      </c>
      <c r="S11" s="15">
        <f>+PercentageChange!S11-PercentageChange!R11</f>
        <v>9.5187203779984131</v>
      </c>
      <c r="T11" s="15">
        <f>+PercentageChange!T11-PercentageChange!U11</f>
        <v>0.90522090714415526</v>
      </c>
      <c r="U11" s="15">
        <f>(LN(RawData!U12)-LN(RawData!U11))*100</f>
        <v>0.95530156325907001</v>
      </c>
      <c r="V11" s="15">
        <f>+PercentageChange!V11-PercentageChange!U11</f>
        <v>8.8180403389577222</v>
      </c>
      <c r="W11" s="15">
        <f>+PercentageChange!W11-PercentageChange!X11</f>
        <v>8.7955652596132694</v>
      </c>
      <c r="X11" s="15">
        <f>(LN(RawData!X12)-LN(RawData!X11))*100</f>
        <v>3.0400176916870691</v>
      </c>
      <c r="Y11" s="15">
        <f>+PercentageChange!Y11-PercentageChange!X11</f>
        <v>16.265048563083084</v>
      </c>
      <c r="Z11" s="15">
        <f>+PercentageChange!Z11-PercentageChange!AA11</f>
        <v>16.678271226846419</v>
      </c>
      <c r="AA11" s="15">
        <f>(LN(RawData!AA12)-LN(RawData!AA11))*100</f>
        <v>5.8398179006140083</v>
      </c>
      <c r="AB11" s="15">
        <f>+PercentageChange!AB11-PercentageChange!AA11</f>
        <v>9.3174366372139161</v>
      </c>
      <c r="AC11" s="15">
        <f>+PercentageChange!AC11-PercentageChange!AD11</f>
        <v>2.372339616795216</v>
      </c>
      <c r="AD11" s="15">
        <f>(LN(RawData!AD12)-LN(RawData!AD11))*100</f>
        <v>-0.96667007698307827</v>
      </c>
      <c r="AE11" s="15">
        <f>+PercentageChange!AE11-PercentageChange!AD11</f>
        <v>10.74001197919987</v>
      </c>
      <c r="AF11" s="15">
        <f>+PercentageChange!AF11-PercentageChange!AG11</f>
        <v>-0.91571014544911122</v>
      </c>
      <c r="AG11" s="15">
        <f>(LN(RawData!AG12)-LN(RawData!AG11))*100</f>
        <v>-1.2318451546235565</v>
      </c>
      <c r="AH11" s="15">
        <f>+PercentageChange!AH11-PercentageChange!AG11</f>
        <v>1.9796850061414517</v>
      </c>
      <c r="AI11" s="15">
        <f>+PercentageChange!AI11-PercentageChange!AJ11</f>
        <v>6.1192757994781743</v>
      </c>
      <c r="AJ11" s="15">
        <f>(LN(RawData!AJ12)-LN(RawData!AJ11))*100</f>
        <v>0.93891027311236996</v>
      </c>
      <c r="AK11" s="15">
        <f>+PercentageChange!AK11-PercentageChange!AJ11</f>
        <v>12.508703924860676</v>
      </c>
      <c r="AL11" s="15">
        <f>+PercentageChange!AL11-PercentageChange!AM11</f>
        <v>16.562899407756504</v>
      </c>
      <c r="AM11" s="15">
        <f>(LN(RawData!AM12)-LN(RawData!AM11))*100</f>
        <v>5.0692822148644012</v>
      </c>
      <c r="AN11" s="15">
        <f>+PercentageChange!AN11-PercentageChange!AM11</f>
        <v>20.70981412598023</v>
      </c>
      <c r="AO11" s="15">
        <f>+PercentageChange!AO11-PercentageChange!AP11</f>
        <v>7.5574262674638959</v>
      </c>
      <c r="AP11" s="15">
        <f>(LN(RawData!AP12)-LN(RawData!AP11))*100</f>
        <v>3.1411879246217467</v>
      </c>
      <c r="AQ11" s="15">
        <f>+PercentageChange!AQ11-PercentageChange!AP11</f>
        <v>14.131579365156632</v>
      </c>
      <c r="AR11" s="15">
        <f>+PercentageChange!AR11-PercentageChange!AS11</f>
        <v>2.7870993266631672</v>
      </c>
      <c r="AS11" s="15">
        <f>(LN(RawData!AS12)-LN(RawData!AS11))*100</f>
        <v>2.9684861022126086</v>
      </c>
      <c r="AT11" s="15">
        <f>+PercentageChange!AT11-PercentageChange!AS11</f>
        <v>7.9668510921656832</v>
      </c>
      <c r="AU11" s="15">
        <f>+PercentageChange!AU11-PercentageChange!AV11</f>
        <v>11.374068608309784</v>
      </c>
      <c r="AV11" s="15">
        <f>(LN(RawData!AV12)-LN(RawData!AV11))*100</f>
        <v>0.81172118454837516</v>
      </c>
      <c r="AW11" s="15">
        <f>+PercentageChange!AW11-PercentageChange!AV11</f>
        <v>17.050221832240808</v>
      </c>
      <c r="AX11" s="15">
        <f>+PercentageChange!AX11-PercentageChange!AY11</f>
        <v>3.3466497781514448</v>
      </c>
      <c r="AY11" s="15">
        <f>(LN(RawData!AY12)-LN(RawData!AY11))*100</f>
        <v>-0.22598212213011948</v>
      </c>
      <c r="AZ11" s="15">
        <f>+PercentageChange!AZ11-PercentageChange!AY11</f>
        <v>13.872155809912101</v>
      </c>
      <c r="BA11" s="15">
        <f>+PercentageChange!BA11-PercentageChange!BB11</f>
        <v>1.9083836665284792</v>
      </c>
      <c r="BB11" s="15">
        <f>(LN(RawData!BB12)-LN(RawData!BB11))*100</f>
        <v>0.1135227867528954</v>
      </c>
      <c r="BC11" s="15">
        <f>+PercentageChange!BC11-PercentageChange!BB11</f>
        <v>6.4683591398962292</v>
      </c>
    </row>
    <row r="12" spans="1:55" ht="16" x14ac:dyDescent="0.2">
      <c r="A12" s="14">
        <v>2009</v>
      </c>
      <c r="B12" s="15">
        <f>+PercentageChange!B12-PercentageChange!C12</f>
        <v>14.304046969926887</v>
      </c>
      <c r="C12" s="15">
        <f>(LN(RawData!C13)-LN(RawData!C12))*100</f>
        <v>-6.1009024625942487</v>
      </c>
      <c r="D12" s="15">
        <f>+PercentageChange!D12-PercentageChange!C12</f>
        <v>15.778955514421256</v>
      </c>
      <c r="E12" s="15">
        <f>+PercentageChange!E12-PercentageChange!F12</f>
        <v>4.8305863649339642</v>
      </c>
      <c r="F12" s="15">
        <f>(LN(RawData!F13)-LN(RawData!F12))*100</f>
        <v>1.8748872375571324</v>
      </c>
      <c r="G12" s="15">
        <f>+PercentageChange!G12-PercentageChange!F12</f>
        <v>8.8588489978159046</v>
      </c>
      <c r="H12" s="15">
        <f>+PercentageChange!H12-PercentageChange!I12</f>
        <v>7.0584110423162372</v>
      </c>
      <c r="I12" s="15">
        <f>(LN(RawData!I13)-LN(RawData!I12))*100</f>
        <v>-0.12589121190451635</v>
      </c>
      <c r="J12" s="15">
        <f>+PercentageChange!J12-PercentageChange!I12</f>
        <v>15.205442108839229</v>
      </c>
      <c r="K12" s="15">
        <f>+PercentageChange!K12-PercentageChange!L12</f>
        <v>-2.352374722060091</v>
      </c>
      <c r="L12" s="15">
        <f>(LN(RawData!L13)-LN(RawData!L12))*100</f>
        <v>-2.9584190830654222</v>
      </c>
      <c r="M12" s="15">
        <f>+PercentageChange!M12-PercentageChange!L12</f>
        <v>6.1191547046973938</v>
      </c>
      <c r="N12" s="15">
        <f>+PercentageChange!N12-PercentageChange!O12</f>
        <v>-0.20975318945737342</v>
      </c>
      <c r="O12" s="15">
        <f>(LN(RawData!O13)-LN(RawData!O12))*100</f>
        <v>8.9829055235387756</v>
      </c>
      <c r="P12" s="15">
        <f>+PercentageChange!P12-PercentageChange!O12</f>
        <v>14.557593435322502</v>
      </c>
      <c r="Q12" s="15">
        <f>+PercentageChange!Q12-PercentageChange!R12</f>
        <v>6.6605289801202616E-2</v>
      </c>
      <c r="R12" s="15">
        <f>(LN(RawData!R13)-LN(RawData!R12))*100</f>
        <v>-2.9154016611816047</v>
      </c>
      <c r="S12" s="15">
        <f>+PercentageChange!S12-PercentageChange!R12</f>
        <v>6.269695059142677</v>
      </c>
      <c r="T12" s="15">
        <f>+PercentageChange!T12-PercentageChange!U12</f>
        <v>1.825134269345341</v>
      </c>
      <c r="U12" s="15">
        <f>(LN(RawData!U13)-LN(RawData!U12))*100</f>
        <v>-5.8623636198408491</v>
      </c>
      <c r="V12" s="15">
        <f>+PercentageChange!V12-PercentageChange!U12</f>
        <v>9.2166570178019214</v>
      </c>
      <c r="W12" s="15">
        <f>+PercentageChange!W12-PercentageChange!X12</f>
        <v>6.8035824396133648</v>
      </c>
      <c r="X12" s="15">
        <f>(LN(RawData!X13)-LN(RawData!X12))*100</f>
        <v>7.5681415661417617</v>
      </c>
      <c r="Y12" s="15">
        <f>+PercentageChange!Y12-PercentageChange!X12</f>
        <v>10.645603609172127</v>
      </c>
      <c r="Z12" s="15">
        <f>+PercentageChange!Z12-PercentageChange!AA12</f>
        <v>7.9501814635463575</v>
      </c>
      <c r="AA12" s="15">
        <f>(LN(RawData!AA13)-LN(RawData!AA12))*100</f>
        <v>4.5249342695804273</v>
      </c>
      <c r="AB12" s="15">
        <f>+PercentageChange!AB12-PercentageChange!AA12</f>
        <v>10.218383705351286</v>
      </c>
      <c r="AC12" s="15">
        <f>+PercentageChange!AC12-PercentageChange!AD12</f>
        <v>1.6649022258121704</v>
      </c>
      <c r="AD12" s="15">
        <f>(LN(RawData!AD13)-LN(RawData!AD12))*100</f>
        <v>-5.4254909414577668</v>
      </c>
      <c r="AE12" s="15">
        <f>+PercentageChange!AE12-PercentageChange!AD12</f>
        <v>8.7797843394188391</v>
      </c>
      <c r="AF12" s="15">
        <f>+PercentageChange!AF12-PercentageChange!AG12</f>
        <v>-0.5711931310457885</v>
      </c>
      <c r="AG12" s="15">
        <f>(LN(RawData!AG13)-LN(RawData!AG12))*100</f>
        <v>-5.8617274199917802</v>
      </c>
      <c r="AH12" s="15">
        <f>+PercentageChange!AH12-PercentageChange!AG12</f>
        <v>7.6416642993880401</v>
      </c>
      <c r="AI12" s="15">
        <f>+PercentageChange!AI12-PercentageChange!AJ12</f>
        <v>5.110636009786873</v>
      </c>
      <c r="AJ12" s="15">
        <f>(LN(RawData!AJ13)-LN(RawData!AJ12))*100</f>
        <v>-6.5021310278083888</v>
      </c>
      <c r="AK12" s="15">
        <f>+PercentageChange!AK12-PercentageChange!AJ12</f>
        <v>16.941005989158597</v>
      </c>
      <c r="AL12" s="15">
        <f>+PercentageChange!AL12-PercentageChange!AM12</f>
        <v>1.9514474049305619</v>
      </c>
      <c r="AM12" s="15">
        <f>(LN(RawData!AM13)-LN(RawData!AM12))*100</f>
        <v>-8.1209989402907468</v>
      </c>
      <c r="AN12" s="15">
        <f>+PercentageChange!AN12-PercentageChange!AM12</f>
        <v>17.834546555423891</v>
      </c>
      <c r="AO12" s="15">
        <f>+PercentageChange!AO12-PercentageChange!AP12</f>
        <v>8.3081548776188896</v>
      </c>
      <c r="AP12" s="15">
        <f>(LN(RawData!AP13)-LN(RawData!AP12))*100</f>
        <v>-1.5500404323059769</v>
      </c>
      <c r="AQ12" s="15">
        <f>+PercentageChange!AQ12-PercentageChange!AP12</f>
        <v>7.863152140196128</v>
      </c>
      <c r="AR12" s="15">
        <f>+PercentageChange!AR12-PercentageChange!AS12</f>
        <v>3.5450577863606725</v>
      </c>
      <c r="AS12" s="15">
        <f>(LN(RawData!AS13)-LN(RawData!AS12))*100</f>
        <v>0.78957363664144964</v>
      </c>
      <c r="AT12" s="15">
        <f>+PercentageChange!AT12-PercentageChange!AS12</f>
        <v>7.0710889919226361</v>
      </c>
      <c r="AU12" s="15">
        <f>+PercentageChange!AU12-PercentageChange!AV12</f>
        <v>5.3033046621013824</v>
      </c>
      <c r="AV12" s="15">
        <f>(LN(RawData!AV13)-LN(RawData!AV12))*100</f>
        <v>-4.9433487564243705</v>
      </c>
      <c r="AW12" s="15">
        <f>+PercentageChange!AW12-PercentageChange!AV12</f>
        <v>21.392229836453147</v>
      </c>
      <c r="AX12" s="15">
        <f>+PercentageChange!AX12-PercentageChange!AY12</f>
        <v>1.8734527028495762</v>
      </c>
      <c r="AY12" s="15">
        <f>(LN(RawData!AY13)-LN(RawData!AY12))*100</f>
        <v>-4.7248406015036437</v>
      </c>
      <c r="AZ12" s="15">
        <f>+PercentageChange!AZ12-PercentageChange!AY12</f>
        <v>14.157306923977764</v>
      </c>
      <c r="BA12" s="15">
        <f>+PercentageChange!BA12-PercentageChange!BB12</f>
        <v>0.61488640802984662</v>
      </c>
      <c r="BB12" s="15">
        <f>(LN(RawData!BB13)-LN(RawData!BB12))*100</f>
        <v>-2.6102733745315021</v>
      </c>
      <c r="BC12" s="15">
        <f>+PercentageChange!BC12-PercentageChange!BB12</f>
        <v>10.371316310052237</v>
      </c>
    </row>
    <row r="13" spans="1:55" ht="16" x14ac:dyDescent="0.2">
      <c r="A13" s="14">
        <v>2010</v>
      </c>
      <c r="B13" s="15">
        <f>+PercentageChange!B13-PercentageChange!C13</f>
        <v>18.991866117874423</v>
      </c>
      <c r="C13" s="15">
        <f>(LN(RawData!C14)-LN(RawData!C13))*100</f>
        <v>9.6449513754116367</v>
      </c>
      <c r="D13" s="15">
        <f>+PercentageChange!D13-PercentageChange!C13</f>
        <v>15.062274874445336</v>
      </c>
      <c r="E13" s="15">
        <f>+PercentageChange!E13-PercentageChange!F13</f>
        <v>1.1452754300727008</v>
      </c>
      <c r="F13" s="15">
        <f>(LN(RawData!F14)-LN(RawData!F13))*100</f>
        <v>2.2021126155539861</v>
      </c>
      <c r="G13" s="15">
        <f>+PercentageChange!G13-PercentageChange!F13</f>
        <v>3.5438457149050251</v>
      </c>
      <c r="H13" s="15">
        <f>+PercentageChange!H13-PercentageChange!I13</f>
        <v>8.0873178152945258</v>
      </c>
      <c r="I13" s="15">
        <f>(LN(RawData!I14)-LN(RawData!I13))*100</f>
        <v>7.2583192865536716</v>
      </c>
      <c r="J13" s="15">
        <f>+PercentageChange!J13-PercentageChange!I13</f>
        <v>12.644288322965558</v>
      </c>
      <c r="K13" s="15">
        <f>+PercentageChange!K13-PercentageChange!L13</f>
        <v>2.8088185165060509</v>
      </c>
      <c r="L13" s="15">
        <f>(LN(RawData!L14)-LN(RawData!L13))*100</f>
        <v>3.0440029128953938</v>
      </c>
      <c r="M13" s="15">
        <f>+PercentageChange!M13-PercentageChange!L13</f>
        <v>2.2437518798136935</v>
      </c>
      <c r="N13" s="15">
        <f>+PercentageChange!N13-PercentageChange!O13</f>
        <v>6.6549437763832486</v>
      </c>
      <c r="O13" s="15">
        <f>(LN(RawData!O14)-LN(RawData!O13))*100</f>
        <v>10.107418202139584</v>
      </c>
      <c r="P13" s="15">
        <f>+PercentageChange!P13-PercentageChange!O13</f>
        <v>8.6564090301372687</v>
      </c>
      <c r="Q13" s="15">
        <f>+PercentageChange!Q13-PercentageChange!R13</f>
        <v>1.0640166883472801</v>
      </c>
      <c r="R13" s="15">
        <f>(LN(RawData!R14)-LN(RawData!R13))*100</f>
        <v>1.9306794814379913</v>
      </c>
      <c r="S13" s="15">
        <f>+PercentageChange!S13-PercentageChange!R13</f>
        <v>-3.047159902462937</v>
      </c>
      <c r="T13" s="15">
        <f>+PercentageChange!T13-PercentageChange!U13</f>
        <v>0.64320277991214425</v>
      </c>
      <c r="U13" s="15">
        <f>(LN(RawData!U14)-LN(RawData!U13))*100</f>
        <v>4.0948858460556181</v>
      </c>
      <c r="V13" s="15">
        <f>+PercentageChange!V13-PercentageChange!U13</f>
        <v>-5.2113662670805638</v>
      </c>
      <c r="W13" s="15">
        <f>+PercentageChange!W13-PercentageChange!X13</f>
        <v>10.008088057659137</v>
      </c>
      <c r="X13" s="15">
        <f>(LN(RawData!X14)-LN(RawData!X13))*100</f>
        <v>8.1557725935542891</v>
      </c>
      <c r="Y13" s="15">
        <f>+PercentageChange!Y13-PercentageChange!X13</f>
        <v>6.9472363261400716</v>
      </c>
      <c r="Z13" s="15">
        <f>+PercentageChange!Z13-PercentageChange!AA13</f>
        <v>14.205751125819432</v>
      </c>
      <c r="AA13" s="15">
        <f>(LN(RawData!AA14)-LN(RawData!AA13))*100</f>
        <v>6.0378513226680752</v>
      </c>
      <c r="AB13" s="15">
        <f>+PercentageChange!AB13-PercentageChange!AA13</f>
        <v>5.4720534934915577</v>
      </c>
      <c r="AC13" s="15">
        <f>+PercentageChange!AC13-PercentageChange!AD13</f>
        <v>0.43541124550330323</v>
      </c>
      <c r="AD13" s="15">
        <f>(LN(RawData!AD14)-LN(RawData!AD13))*100</f>
        <v>1.6987844402933661</v>
      </c>
      <c r="AE13" s="15">
        <f>+PercentageChange!AE13-PercentageChange!AD13</f>
        <v>-2.8152648613183118</v>
      </c>
      <c r="AF13" s="15">
        <f>+PercentageChange!AF13-PercentageChange!AG13</f>
        <v>-1.8986528284969495</v>
      </c>
      <c r="AG13" s="15">
        <f>(LN(RawData!AG14)-LN(RawData!AG13))*100</f>
        <v>4.0161788657613329</v>
      </c>
      <c r="AH13" s="15">
        <f>+PercentageChange!AH13-PercentageChange!AG13</f>
        <v>-1.9583349429446173</v>
      </c>
      <c r="AI13" s="15">
        <f>+PercentageChange!AI13-PercentageChange!AJ13</f>
        <v>4.280049424297161</v>
      </c>
      <c r="AJ13" s="15">
        <f>(LN(RawData!AJ14)-LN(RawData!AJ13))*100</f>
        <v>4.851712292772703</v>
      </c>
      <c r="AK13" s="15">
        <f>+PercentageChange!AK13-PercentageChange!AJ13</f>
        <v>3.81269170025611</v>
      </c>
      <c r="AL13" s="15">
        <f>+PercentageChange!AL13-PercentageChange!AM13</f>
        <v>13.270325854331233</v>
      </c>
      <c r="AM13" s="15">
        <f>(LN(RawData!AM14)-LN(RawData!AM13))*100</f>
        <v>4.4016885409185136</v>
      </c>
      <c r="AN13" s="15">
        <f>+PercentageChange!AN13-PercentageChange!AM13</f>
        <v>16.327702539320121</v>
      </c>
      <c r="AO13" s="15">
        <f>+PercentageChange!AO13-PercentageChange!AP13</f>
        <v>5.947980140994602</v>
      </c>
      <c r="AP13" s="15">
        <f>(LN(RawData!AP14)-LN(RawData!AP13))*100</f>
        <v>2.9944483985705261</v>
      </c>
      <c r="AQ13" s="15">
        <f>+PercentageChange!AQ13-PercentageChange!AP13</f>
        <v>0.41490567997541916</v>
      </c>
      <c r="AR13" s="15">
        <f>+PercentageChange!AR13-PercentageChange!AS13</f>
        <v>2.7006974701905051</v>
      </c>
      <c r="AS13" s="15">
        <f>(LN(RawData!AS14)-LN(RawData!AS13))*100</f>
        <v>6.5832916650848006</v>
      </c>
      <c r="AT13" s="15">
        <f>+PercentageChange!AT13-PercentageChange!AS13</f>
        <v>1.3213507847670058</v>
      </c>
      <c r="AU13" s="15">
        <f>+PercentageChange!AU13-PercentageChange!AV13</f>
        <v>6.7745407351253562</v>
      </c>
      <c r="AV13" s="15">
        <f>(LN(RawData!AV14)-LN(RawData!AV13))*100</f>
        <v>8.0907911640569097</v>
      </c>
      <c r="AW13" s="15">
        <f>+PercentageChange!AW13-PercentageChange!AV13</f>
        <v>6.1250151086172266</v>
      </c>
      <c r="AX13" s="15">
        <f>+PercentageChange!AX13-PercentageChange!AY13</f>
        <v>1.5713310038531603</v>
      </c>
      <c r="AY13" s="15">
        <f>(LN(RawData!AY14)-LN(RawData!AY13))*100</f>
        <v>2.2139978207292188</v>
      </c>
      <c r="AZ13" s="15">
        <f>+PercentageChange!AZ13-PercentageChange!AY13</f>
        <v>6.2946972803510803</v>
      </c>
      <c r="BA13" s="15">
        <f>+PercentageChange!BA13-PercentageChange!BB13</f>
        <v>1.2079613626415409</v>
      </c>
      <c r="BB13" s="15">
        <f>(LN(RawData!BB14)-LN(RawData!BB13))*100</f>
        <v>2.6595119566717784</v>
      </c>
      <c r="BC13" s="15">
        <f>+PercentageChange!BC13-PercentageChange!BB13</f>
        <v>-0.17022573504235083</v>
      </c>
    </row>
    <row r="14" spans="1:55" ht="16" x14ac:dyDescent="0.2">
      <c r="A14" s="14">
        <v>2011</v>
      </c>
      <c r="B14" s="15">
        <f>+PercentageChange!B14-PercentageChange!C14</f>
        <v>21.271716240978122</v>
      </c>
      <c r="C14" s="15">
        <f>(LN(RawData!C15)-LN(RawData!C14))*100</f>
        <v>5.8306187549895583</v>
      </c>
      <c r="D14" s="15">
        <f>+PercentageChange!D14-PercentageChange!C14</f>
        <v>22.379135975517173</v>
      </c>
      <c r="E14" s="15">
        <f>+PercentageChange!E14-PercentageChange!F14</f>
        <v>6.0173683515298393</v>
      </c>
      <c r="F14" s="15">
        <f>(LN(RawData!F15)-LN(RawData!F14))*100</f>
        <v>2.3804137818959958</v>
      </c>
      <c r="G14" s="15">
        <f>+PercentageChange!G14-PercentageChange!F14</f>
        <v>6.7372664171120533</v>
      </c>
      <c r="H14" s="15">
        <f>+PercentageChange!H14-PercentageChange!I14</f>
        <v>7.9906626588648777</v>
      </c>
      <c r="I14" s="15">
        <f>(LN(RawData!I15)-LN(RawData!I14))*100</f>
        <v>3.8974750978674422</v>
      </c>
      <c r="J14" s="15">
        <f>+PercentageChange!J14-PercentageChange!I14</f>
        <v>11.954330162586047</v>
      </c>
      <c r="K14" s="15">
        <f>+PercentageChange!K14-PercentageChange!L14</f>
        <v>3.1929341510295473</v>
      </c>
      <c r="L14" s="15">
        <f>(LN(RawData!L15)-LN(RawData!L14))*100</f>
        <v>3.0889900303684215</v>
      </c>
      <c r="M14" s="15">
        <f>+PercentageChange!M14-PercentageChange!L14</f>
        <v>4.0005781982809907</v>
      </c>
      <c r="N14" s="15">
        <f>+PercentageChange!N14-PercentageChange!O14</f>
        <v>7.7661577805237414</v>
      </c>
      <c r="O14" s="15">
        <f>(LN(RawData!O15)-LN(RawData!O14))*100</f>
        <v>9.1218476362055156</v>
      </c>
      <c r="P14" s="15">
        <f>+PercentageChange!P14-PercentageChange!O14</f>
        <v>5.3940607942571717</v>
      </c>
      <c r="Q14" s="15">
        <f>+PercentageChange!Q14-PercentageChange!R14</f>
        <v>0.94349527754609142</v>
      </c>
      <c r="R14" s="15">
        <f>(LN(RawData!R15)-LN(RawData!R14))*100</f>
        <v>2.1690066849860301</v>
      </c>
      <c r="S14" s="15">
        <f>+PercentageChange!S14-PercentageChange!R14</f>
        <v>-1.0505327879080539</v>
      </c>
      <c r="T14" s="15">
        <f>+PercentageChange!T14-PercentageChange!U14</f>
        <v>1.0638052193375103</v>
      </c>
      <c r="U14" s="15">
        <f>(LN(RawData!U15)-LN(RawData!U14))*100</f>
        <v>3.8501153415275269</v>
      </c>
      <c r="V14" s="15">
        <f>+PercentageChange!V14-PercentageChange!U14</f>
        <v>-2.7316414444495507</v>
      </c>
      <c r="W14" s="15">
        <f>+PercentageChange!W14-PercentageChange!X14</f>
        <v>8.3730474015620615</v>
      </c>
      <c r="X14" s="15">
        <f>(LN(RawData!X15)-LN(RawData!X14))*100</f>
        <v>5.1085776751456535</v>
      </c>
      <c r="Y14" s="15">
        <f>+PercentageChange!Y14-PercentageChange!X14</f>
        <v>10.141668842246787</v>
      </c>
      <c r="Z14" s="15">
        <f>+PercentageChange!Z14-PercentageChange!AA14</f>
        <v>7.2003802395990135</v>
      </c>
      <c r="AA14" s="15">
        <f>(LN(RawData!AA15)-LN(RawData!AA14))*100</f>
        <v>5.986936451870406</v>
      </c>
      <c r="AB14" s="15">
        <f>+PercentageChange!AB14-PercentageChange!AA14</f>
        <v>8.8515473636668673</v>
      </c>
      <c r="AC14" s="15">
        <f>+PercentageChange!AC14-PercentageChange!AD14</f>
        <v>1.5943986262744403</v>
      </c>
      <c r="AD14" s="15">
        <f>(LN(RawData!AD15)-LN(RawData!AD14))*100</f>
        <v>0.70484347893220445</v>
      </c>
      <c r="AE14" s="15">
        <f>+PercentageChange!AE14-PercentageChange!AD14</f>
        <v>0.41363041814577173</v>
      </c>
      <c r="AF14" s="15">
        <f>+PercentageChange!AF14-PercentageChange!AG14</f>
        <v>-1.6353799895199472</v>
      </c>
      <c r="AG14" s="15">
        <f>(LN(RawData!AG15)-LN(RawData!AG14))*100</f>
        <v>2.3806689757321919E-2</v>
      </c>
      <c r="AH14" s="15">
        <f>+PercentageChange!AH14-PercentageChange!AG14</f>
        <v>2.1537563457570741</v>
      </c>
      <c r="AI14" s="15">
        <f>+PercentageChange!AI14-PercentageChange!AJ14</f>
        <v>5.5147377758288485</v>
      </c>
      <c r="AJ14" s="15">
        <f>(LN(RawData!AJ15)-LN(RawData!AJ14))*100</f>
        <v>3.3860653066138724</v>
      </c>
      <c r="AK14" s="15">
        <f>+PercentageChange!AK14-PercentageChange!AJ14</f>
        <v>11.995897328482741</v>
      </c>
      <c r="AL14" s="15">
        <f>+PercentageChange!AL14-PercentageChange!AM14</f>
        <v>21.88148846374709</v>
      </c>
      <c r="AM14" s="15">
        <f>(LN(RawData!AM15)-LN(RawData!AM14))*100</f>
        <v>4.2101455842924906</v>
      </c>
      <c r="AN14" s="15">
        <f>+PercentageChange!AN14-PercentageChange!AM14</f>
        <v>14.597691084561149</v>
      </c>
      <c r="AO14" s="15">
        <f>+PercentageChange!AO14-PercentageChange!AP14</f>
        <v>5.391090156205891</v>
      </c>
      <c r="AP14" s="15">
        <f>(LN(RawData!AP15)-LN(RawData!AP14))*100</f>
        <v>3.119393340980281</v>
      </c>
      <c r="AQ14" s="15">
        <f>+PercentageChange!AQ14-PercentageChange!AP14</f>
        <v>3.4802914320497536</v>
      </c>
      <c r="AR14" s="15">
        <f>+PercentageChange!AR14-PercentageChange!AS14</f>
        <v>1.2737174745559798</v>
      </c>
      <c r="AS14" s="15">
        <f>(LN(RawData!AS15)-LN(RawData!AS14))*100</f>
        <v>3.6193711230197323</v>
      </c>
      <c r="AT14" s="15">
        <f>+PercentageChange!AT14-PercentageChange!AS14</f>
        <v>1.4669033830738698</v>
      </c>
      <c r="AU14" s="15">
        <f>+PercentageChange!AU14-PercentageChange!AV14</f>
        <v>7.8819009352109504</v>
      </c>
      <c r="AV14" s="15">
        <f>(LN(RawData!AV15)-LN(RawData!AV14))*100</f>
        <v>10.61611902824886</v>
      </c>
      <c r="AW14" s="15">
        <f>+PercentageChange!AW14-PercentageChange!AV14</f>
        <v>7.9205129602861746</v>
      </c>
      <c r="AX14" s="15">
        <f>+PercentageChange!AX14-PercentageChange!AY14</f>
        <v>2.165566153237819</v>
      </c>
      <c r="AY14" s="15">
        <f>(LN(RawData!AY15)-LN(RawData!AY14))*100</f>
        <v>1.1385948781096999</v>
      </c>
      <c r="AZ14" s="15">
        <f>+PercentageChange!AZ14-PercentageChange!AY14</f>
        <v>-3.0618808477759885</v>
      </c>
      <c r="BA14" s="15">
        <f>+PercentageChange!BA14-PercentageChange!BB14</f>
        <v>2.0421156315027389</v>
      </c>
      <c r="BB14" s="15">
        <f>(LN(RawData!BB15)-LN(RawData!BB14))*100</f>
        <v>1.5522961541332592</v>
      </c>
      <c r="BC14" s="15">
        <f>+PercentageChange!BC14-PercentageChange!BB14</f>
        <v>5.4908728212126334</v>
      </c>
    </row>
    <row r="15" spans="1:55" ht="16" x14ac:dyDescent="0.2">
      <c r="A15" s="14">
        <v>2012</v>
      </c>
      <c r="B15" s="15">
        <f>+PercentageChange!B15-PercentageChange!C15</f>
        <v>20.142852283819934</v>
      </c>
      <c r="C15" s="15">
        <f>(LN(RawData!C16)-LN(RawData!C15))*100</f>
        <v>-1.031724474760054</v>
      </c>
      <c r="D15" s="15">
        <f>+PercentageChange!D15-PercentageChange!C15</f>
        <v>23.914867898925962</v>
      </c>
      <c r="E15" s="15">
        <f>+PercentageChange!E15-PercentageChange!F15</f>
        <v>1.7890644358701024</v>
      </c>
      <c r="F15" s="15">
        <f>(LN(RawData!F16)-LN(RawData!F15))*100</f>
        <v>3.8435882421346435</v>
      </c>
      <c r="G15" s="15">
        <f>+PercentageChange!G15-PercentageChange!F15</f>
        <v>3.6950349512196112</v>
      </c>
      <c r="H15" s="15">
        <f>+PercentageChange!H15-PercentageChange!I15</f>
        <v>7.6434300037519165</v>
      </c>
      <c r="I15" s="15">
        <f>(LN(RawData!I16)-LN(RawData!I15))*100</f>
        <v>1.9029544091068828</v>
      </c>
      <c r="J15" s="15">
        <f>+PercentageChange!J15-PercentageChange!I15</f>
        <v>14.203912618915915</v>
      </c>
      <c r="K15" s="15">
        <f>+PercentageChange!K15-PercentageChange!L15</f>
        <v>1.2110804332742475</v>
      </c>
      <c r="L15" s="15">
        <f>(LN(RawData!L16)-LN(RawData!L15))*100</f>
        <v>1.7404276348518266</v>
      </c>
      <c r="M15" s="15">
        <f>+PercentageChange!M15-PercentageChange!L15</f>
        <v>4.7624974553434285</v>
      </c>
      <c r="N15" s="15">
        <f>+PercentageChange!N15-PercentageChange!O15</f>
        <v>2.3044597562332569</v>
      </c>
      <c r="O15" s="15">
        <f>(LN(RawData!O16)-LN(RawData!O15))*100</f>
        <v>7.5698544973317183</v>
      </c>
      <c r="P15" s="15">
        <f>+PercentageChange!P15-PercentageChange!O15</f>
        <v>8.3079428209718031</v>
      </c>
      <c r="Q15" s="15">
        <f>+PercentageChange!Q15-PercentageChange!R15</f>
        <v>1.1551276692209456</v>
      </c>
      <c r="R15" s="15">
        <f>(LN(RawData!R16)-LN(RawData!R15))*100</f>
        <v>0.31264550528184998</v>
      </c>
      <c r="S15" s="15">
        <f>+PercentageChange!S15-PercentageChange!R15</f>
        <v>2.3966223245096785</v>
      </c>
      <c r="T15" s="15">
        <f>+PercentageChange!T15-PercentageChange!U15</f>
        <v>1.4854019164356913</v>
      </c>
      <c r="U15" s="15">
        <f>(LN(RawData!U16)-LN(RawData!U15))*100</f>
        <v>0.41762432858512</v>
      </c>
      <c r="V15" s="15">
        <f>+PercentageChange!V15-PercentageChange!U15</f>
        <v>2.2916435012064085</v>
      </c>
      <c r="W15" s="15">
        <f>+PercentageChange!W15-PercentageChange!X15</f>
        <v>7.6353333166686355</v>
      </c>
      <c r="X15" s="15">
        <f>(LN(RawData!X16)-LN(RawData!X15))*100</f>
        <v>5.3127293323548486</v>
      </c>
      <c r="Y15" s="15">
        <f>+PercentageChange!Y15-PercentageChange!X15</f>
        <v>7.5641757934000964</v>
      </c>
      <c r="Z15" s="15">
        <f>+PercentageChange!Z15-PercentageChange!AA15</f>
        <v>3.6851357997257139</v>
      </c>
      <c r="AA15" s="15">
        <f>(LN(RawData!AA16)-LN(RawData!AA15))*100</f>
        <v>5.8552364673317925</v>
      </c>
      <c r="AB15" s="15">
        <f>+PercentageChange!AB15-PercentageChange!AA15</f>
        <v>11.103974466733391</v>
      </c>
      <c r="AC15" s="15">
        <f>+PercentageChange!AC15-PercentageChange!AD15</f>
        <v>1.5354527981397581</v>
      </c>
      <c r="AD15" s="15">
        <f>(LN(RawData!AD16)-LN(RawData!AD15))*100</f>
        <v>-3.0262379106556381</v>
      </c>
      <c r="AE15" s="15">
        <f>+PercentageChange!AE15-PercentageChange!AD15</f>
        <v>5.7355057404471665</v>
      </c>
      <c r="AF15" s="15">
        <f>+PercentageChange!AF15-PercentageChange!AG15</f>
        <v>-0.75896599381408691</v>
      </c>
      <c r="AG15" s="15">
        <f>(LN(RawData!AG16)-LN(RawData!AG15))*100</f>
        <v>1.3653870209786589</v>
      </c>
      <c r="AH15" s="15">
        <f>+PercentageChange!AH15-PercentageChange!AG15</f>
        <v>0.76863993831324251</v>
      </c>
      <c r="AI15" s="15">
        <f>+PercentageChange!AI15-PercentageChange!AJ15</f>
        <v>4.442077453893134</v>
      </c>
      <c r="AJ15" s="15">
        <f>(LN(RawData!AJ16)-LN(RawData!AJ15))*100</f>
        <v>3.4915408228766154</v>
      </c>
      <c r="AK15" s="15">
        <f>+PercentageChange!AK15-PercentageChange!AJ15</f>
        <v>14.231814085481886</v>
      </c>
      <c r="AL15" s="15">
        <f>+PercentageChange!AL15-PercentageChange!AM15</f>
        <v>8.5332094975900219</v>
      </c>
      <c r="AM15" s="15">
        <f>(LN(RawData!AM16)-LN(RawData!AM15))*100</f>
        <v>3.9452284006657123</v>
      </c>
      <c r="AN15" s="15">
        <f>+PercentageChange!AN15-PercentageChange!AM15</f>
        <v>12.211851917398775</v>
      </c>
      <c r="AO15" s="15">
        <f>+PercentageChange!AO15-PercentageChange!AP15</f>
        <v>4.5787626663067016</v>
      </c>
      <c r="AP15" s="15">
        <f>(LN(RawData!AP16)-LN(RawData!AP15))*100</f>
        <v>2.3679732821854316</v>
      </c>
      <c r="AQ15" s="15">
        <f>+PercentageChange!AQ15-PercentageChange!AP15</f>
        <v>4.0447588471010931</v>
      </c>
      <c r="AR15" s="15">
        <f>+PercentageChange!AR15-PercentageChange!AS15</f>
        <v>1.2440378304596322</v>
      </c>
      <c r="AS15" s="15">
        <f>(LN(RawData!AS16)-LN(RawData!AS15))*100</f>
        <v>2.3741243035118487</v>
      </c>
      <c r="AT15" s="15">
        <f>+PercentageChange!AT15-PercentageChange!AS15</f>
        <v>5.0892397694997982</v>
      </c>
      <c r="AU15" s="15">
        <f>+PercentageChange!AU15-PercentageChange!AV15</f>
        <v>7.1601084481979882</v>
      </c>
      <c r="AV15" s="15">
        <f>(LN(RawData!AV16)-LN(RawData!AV15))*100</f>
        <v>4.6773777494937718</v>
      </c>
      <c r="AW15" s="15">
        <f>+PercentageChange!AW15-PercentageChange!AV15</f>
        <v>4.6747178512456244</v>
      </c>
      <c r="AX15" s="15">
        <f>+PercentageChange!AX15-PercentageChange!AY15</f>
        <v>1.5270841185916595</v>
      </c>
      <c r="AY15" s="15">
        <f>(LN(RawData!AY16)-LN(RawData!AY15))*100</f>
        <v>1.5016060030095701</v>
      </c>
      <c r="AZ15" s="15">
        <f>+PercentageChange!AZ15-PercentageChange!AY15</f>
        <v>-2.9996270469579756</v>
      </c>
      <c r="BA15" s="15">
        <f>+PercentageChange!BA15-PercentageChange!BB15</f>
        <v>1.8450389200165063</v>
      </c>
      <c r="BB15" s="15">
        <f>(LN(RawData!BB16)-LN(RawData!BB15))*100</f>
        <v>2.263306280887889</v>
      </c>
      <c r="BC15" s="15">
        <f>+PercentageChange!BC15-PercentageChange!BB15</f>
        <v>5.8922058385530107</v>
      </c>
    </row>
    <row r="16" spans="1:55" ht="16" x14ac:dyDescent="0.2">
      <c r="A16" s="14">
        <v>2013</v>
      </c>
      <c r="B16" s="15">
        <f>+PercentageChange!B16-PercentageChange!C16</f>
        <v>21.46983783458758</v>
      </c>
      <c r="C16" s="15">
        <f>(LN(RawData!C17)-LN(RawData!C16))*100</f>
        <v>2.3768515312699634</v>
      </c>
      <c r="D16" s="15">
        <f>+PercentageChange!D16-PercentageChange!C16</f>
        <v>22.28840212191372</v>
      </c>
      <c r="E16" s="15">
        <f>+PercentageChange!E16-PercentageChange!F16</f>
        <v>-0.16391577940346735</v>
      </c>
      <c r="F16" s="15">
        <f>(LN(RawData!F17)-LN(RawData!F16))*100</f>
        <v>2.572815863777933</v>
      </c>
      <c r="G16" s="15">
        <f>+PercentageChange!G16-PercentageChange!F16</f>
        <v>3.8735003638727505</v>
      </c>
      <c r="H16" s="15">
        <f>+PercentageChange!H16-PercentageChange!I16</f>
        <v>7.2363121449633638</v>
      </c>
      <c r="I16" s="15">
        <f>(LN(RawData!I17)-LN(RawData!I16))*100</f>
        <v>2.9605623178866836</v>
      </c>
      <c r="J16" s="15">
        <f>+PercentageChange!J16-PercentageChange!I16</f>
        <v>7.6329916773106632</v>
      </c>
      <c r="K16" s="15">
        <f>+PercentageChange!K16-PercentageChange!L16</f>
        <v>1.7257606237844669</v>
      </c>
      <c r="L16" s="15">
        <f>(LN(RawData!L17)-LN(RawData!L16))*100</f>
        <v>2.2991787240123074</v>
      </c>
      <c r="M16" s="15">
        <f>+PercentageChange!M16-PercentageChange!L16</f>
        <v>4.0479611379373281</v>
      </c>
      <c r="N16" s="15">
        <f>+PercentageChange!N16-PercentageChange!O16</f>
        <v>2.1403012923656206</v>
      </c>
      <c r="O16" s="15">
        <f>(LN(RawData!O17)-LN(RawData!O16))*100</f>
        <v>7.4793416661872669</v>
      </c>
      <c r="P16" s="15">
        <f>+PercentageChange!P16-PercentageChange!O16</f>
        <v>6.336637083694896</v>
      </c>
      <c r="Q16" s="15">
        <f>+PercentageChange!Q16-PercentageChange!R16</f>
        <v>0.77508894100581927</v>
      </c>
      <c r="R16" s="15">
        <f>(LN(RawData!R17)-LN(RawData!R16))*100</f>
        <v>0.57467226608025612</v>
      </c>
      <c r="S16" s="15">
        <f>+PercentageChange!S16-PercentageChange!R16</f>
        <v>1.1660482293954999</v>
      </c>
      <c r="T16" s="15">
        <f>+PercentageChange!T16-PercentageChange!U16</f>
        <v>1.9404427270412583</v>
      </c>
      <c r="U16" s="15">
        <f>(LN(RawData!U17)-LN(RawData!U16))*100</f>
        <v>0.43663665635591542</v>
      </c>
      <c r="V16" s="15">
        <f>+PercentageChange!V16-PercentageChange!U16</f>
        <v>1.3040838391198406</v>
      </c>
      <c r="W16" s="15">
        <f>+PercentageChange!W16-PercentageChange!X16</f>
        <v>6.0026833772724331</v>
      </c>
      <c r="X16" s="15">
        <f>(LN(RawData!X17)-LN(RawData!X16))*100</f>
        <v>6.1904803454595481</v>
      </c>
      <c r="Y16" s="15">
        <f>+PercentageChange!Y16-PercentageChange!X16</f>
        <v>6.2926630514436255</v>
      </c>
      <c r="Z16" s="15">
        <f>+PercentageChange!Z16-PercentageChange!AA16</f>
        <v>4.846620971439819</v>
      </c>
      <c r="AA16" s="15">
        <f>(LN(RawData!AA17)-LN(RawData!AA16))*100</f>
        <v>5.4083403455329915</v>
      </c>
      <c r="AB16" s="15">
        <f>+PercentageChange!AB16-PercentageChange!AA16</f>
        <v>7.4869932789376037</v>
      </c>
      <c r="AC16" s="15">
        <f>+PercentageChange!AC16-PercentageChange!AD16</f>
        <v>1.1410750642838252</v>
      </c>
      <c r="AD16" s="15">
        <f>(LN(RawData!AD17)-LN(RawData!AD16))*100</f>
        <v>-1.8582239870937656</v>
      </c>
      <c r="AE16" s="15">
        <f>+PercentageChange!AE16-PercentageChange!AD16</f>
        <v>3.5989444825695216</v>
      </c>
      <c r="AF16" s="15">
        <f>+PercentageChange!AF16-PercentageChange!AG16</f>
        <v>-0.35500445011393822</v>
      </c>
      <c r="AG16" s="15">
        <f>(LN(RawData!AG17)-LN(RawData!AG16))*100</f>
        <v>1.9852627779201271</v>
      </c>
      <c r="AH16" s="15">
        <f>+PercentageChange!AH16-PercentageChange!AG16</f>
        <v>0.88757397774337221</v>
      </c>
      <c r="AI16" s="15">
        <f>+PercentageChange!AI16-PercentageChange!AJ16</f>
        <v>1.689529516239574</v>
      </c>
      <c r="AJ16" s="15">
        <f>(LN(RawData!AJ17)-LN(RawData!AJ16))*100</f>
        <v>0.84849166621481231</v>
      </c>
      <c r="AK16" s="15">
        <f>+PercentageChange!AK16-PercentageChange!AJ16</f>
        <v>11.489129227785178</v>
      </c>
      <c r="AL16" s="15">
        <f>+PercentageChange!AL16-PercentageChange!AM16</f>
        <v>5.1834467214725066</v>
      </c>
      <c r="AM16" s="15">
        <f>(LN(RawData!AM17)-LN(RawData!AM16))*100</f>
        <v>1.7401925845938138</v>
      </c>
      <c r="AN16" s="15">
        <f>+PercentageChange!AN16-PercentageChange!AM16</f>
        <v>13.266922597140507</v>
      </c>
      <c r="AO16" s="15">
        <f>+PercentageChange!AO16-PercentageChange!AP16</f>
        <v>5.6797178497564715</v>
      </c>
      <c r="AP16" s="15">
        <f>(LN(RawData!AP17)-LN(RawData!AP16))*100</f>
        <v>2.4550827010159537</v>
      </c>
      <c r="AQ16" s="15">
        <f>+PercentageChange!AQ16-PercentageChange!AP16</f>
        <v>4.8731936319713398</v>
      </c>
      <c r="AR16" s="15">
        <f>+PercentageChange!AR16-PercentageChange!AS16</f>
        <v>1.0133916030603984</v>
      </c>
      <c r="AS16" s="15">
        <f>(LN(RawData!AS17)-LN(RawData!AS16))*100</f>
        <v>3.1156637997277414</v>
      </c>
      <c r="AT16" s="15">
        <f>+PercentageChange!AT16-PercentageChange!AS16</f>
        <v>3.4920962973238545</v>
      </c>
      <c r="AU16" s="15">
        <f>+PercentageChange!AU16-PercentageChange!AV16</f>
        <v>6.0907967054681933</v>
      </c>
      <c r="AV16" s="15">
        <f>(LN(RawData!AV17)-LN(RawData!AV16))*100</f>
        <v>8.1449259521971129</v>
      </c>
      <c r="AW16" s="15">
        <f>+PercentageChange!AW16-PercentageChange!AV16</f>
        <v>7.4386435203912527</v>
      </c>
      <c r="AX16" s="15">
        <f>+PercentageChange!AX16-PercentageChange!AY16</f>
        <v>2.0949655237657794</v>
      </c>
      <c r="AY16" s="15">
        <f>(LN(RawData!AY17)-LN(RawData!AY16))*100</f>
        <v>1.7764495008126602</v>
      </c>
      <c r="AZ16" s="15">
        <f>+PercentageChange!AZ16-PercentageChange!AY16</f>
        <v>2.2627703108046404</v>
      </c>
      <c r="BA16" s="15">
        <f>+PercentageChange!BA16-PercentageChange!BB16</f>
        <v>1.6875606184314051</v>
      </c>
      <c r="BB16" s="15">
        <f>(LN(RawData!BB17)-LN(RawData!BB16))*100</f>
        <v>2.0957157620447475</v>
      </c>
      <c r="BC16" s="15">
        <f>+PercentageChange!BC16-PercentageChange!BB16</f>
        <v>4.4018556663431241</v>
      </c>
    </row>
    <row r="17" spans="1:55" ht="16" x14ac:dyDescent="0.2">
      <c r="A17" s="16">
        <v>2014</v>
      </c>
      <c r="B17" s="15">
        <f>+PercentageChange!B17-PercentageChange!C17</f>
        <v>33.849142263202125</v>
      </c>
      <c r="C17" s="15">
        <f>(LN(RawData!C18)-LN(RawData!C17))*100</f>
        <v>-2.5447204261411116</v>
      </c>
      <c r="D17" s="15">
        <f>+PercentageChange!D17-PercentageChange!C17</f>
        <v>24.660259709960997</v>
      </c>
      <c r="E17" s="15">
        <f>+PercentageChange!E17-PercentageChange!F17</f>
        <v>1.3951159412830094</v>
      </c>
      <c r="F17" s="15">
        <f>(LN(RawData!F18)-LN(RawData!F17))*100</f>
        <v>2.5739878960685303</v>
      </c>
      <c r="G17" s="15">
        <f>+PercentageChange!G17-PercentageChange!F17</f>
        <v>4.4055343763901078</v>
      </c>
      <c r="H17" s="15">
        <f>+PercentageChange!H17-PercentageChange!I17</f>
        <v>7.5540678672183503</v>
      </c>
      <c r="I17" s="15">
        <f>(LN(RawData!I18)-LN(RawData!I17))*100</f>
        <v>0.50269013358565928</v>
      </c>
      <c r="J17" s="15">
        <f>+PercentageChange!J17-PercentageChange!I17</f>
        <v>9.0301246446456318</v>
      </c>
      <c r="K17" s="15">
        <f>+PercentageChange!K17-PercentageChange!L17</f>
        <v>1.9225980454464775</v>
      </c>
      <c r="L17" s="15">
        <f>(LN(RawData!L18)-LN(RawData!L17))*100</f>
        <v>2.8329569100755236</v>
      </c>
      <c r="M17" s="15">
        <f>+PercentageChange!M17-PercentageChange!L17</f>
        <v>5.1192783149593524</v>
      </c>
      <c r="N17" s="15">
        <f>+PercentageChange!N17-PercentageChange!O17</f>
        <v>1.0257844831279783</v>
      </c>
      <c r="O17" s="15">
        <f>(LN(RawData!O18)-LN(RawData!O17))*100</f>
        <v>7.1629852387047777</v>
      </c>
      <c r="P17" s="15">
        <f>+PercentageChange!P17-PercentageChange!O17</f>
        <v>4.8180895856944517</v>
      </c>
      <c r="Q17" s="15">
        <f>+PercentageChange!Q17-PercentageChange!R17</f>
        <v>0.5752862836576611</v>
      </c>
      <c r="R17" s="15">
        <f>(LN(RawData!R18)-LN(RawData!R17))*100</f>
        <v>0.95164055565639671</v>
      </c>
      <c r="S17" s="15">
        <f>+PercentageChange!S17-PercentageChange!R17</f>
        <v>0.93295270146640519</v>
      </c>
      <c r="T17" s="15">
        <f>+PercentageChange!T17-PercentageChange!U17</f>
        <v>1.8605242616679618</v>
      </c>
      <c r="U17" s="15">
        <f>(LN(RawData!U18)-LN(RawData!U17))*100</f>
        <v>2.1854867376365661</v>
      </c>
      <c r="V17" s="15">
        <f>+PercentageChange!V17-PercentageChange!U17</f>
        <v>-0.30089348051376419</v>
      </c>
      <c r="W17" s="15">
        <f>+PercentageChange!W17-PercentageChange!X17</f>
        <v>3.27745670650188</v>
      </c>
      <c r="X17" s="15">
        <f>(LN(RawData!X18)-LN(RawData!X17))*100</f>
        <v>7.1485220651027248</v>
      </c>
      <c r="Y17" s="15">
        <f>+PercentageChange!Y17-PercentageChange!X17</f>
        <v>4.8091396170431011</v>
      </c>
      <c r="Z17" s="15">
        <f>+PercentageChange!Z17-PercentageChange!AA17</f>
        <v>5.3001991950928584</v>
      </c>
      <c r="AA17" s="15">
        <f>(LN(RawData!AA18)-LN(RawData!AA17))*100</f>
        <v>4.8853670969549512</v>
      </c>
      <c r="AB17" s="15">
        <f>+PercentageChange!AB17-PercentageChange!AA17</f>
        <v>5.9738434886959624</v>
      </c>
      <c r="AC17" s="15">
        <f>+PercentageChange!AC17-PercentageChange!AD17</f>
        <v>0.90909642973535654</v>
      </c>
      <c r="AD17" s="15">
        <f>(LN(RawData!AD18)-LN(RawData!AD17))*100</f>
        <v>-4.5476457675164284E-3</v>
      </c>
      <c r="AE17" s="15">
        <f>+PercentageChange!AE17-PercentageChange!AD17</f>
        <v>1.8891409028903183</v>
      </c>
      <c r="AF17" s="15">
        <f>+PercentageChange!AF17-PercentageChange!AG17</f>
        <v>1.6722346788341724</v>
      </c>
      <c r="AG17" s="15">
        <f>(LN(RawData!AG18)-LN(RawData!AG17))*100</f>
        <v>0.29576768996903979</v>
      </c>
      <c r="AH17" s="15">
        <f>+PercentageChange!AH17-PercentageChange!AG17</f>
        <v>2.4292630255224879</v>
      </c>
      <c r="AI17" s="15">
        <f>+PercentageChange!AI17-PercentageChange!AJ17</f>
        <v>4.2756463793466537</v>
      </c>
      <c r="AJ17" s="15">
        <f>(LN(RawData!AJ18)-LN(RawData!AJ17))*100</f>
        <v>2.4729329017645796</v>
      </c>
      <c r="AK17" s="15">
        <f>+PercentageChange!AK17-PercentageChange!AJ17</f>
        <v>8.0129328515257114</v>
      </c>
      <c r="AL17" s="15">
        <f>+PercentageChange!AL17-PercentageChange!AM17</f>
        <v>7.2228295611378002</v>
      </c>
      <c r="AM17" s="15">
        <f>(LN(RawData!AM18)-LN(RawData!AM17))*100</f>
        <v>0.73357000571050435</v>
      </c>
      <c r="AN17" s="15">
        <f>+PercentageChange!AN17-PercentageChange!AM17</f>
        <v>11.255909775685602</v>
      </c>
      <c r="AO17" s="15">
        <f>+PercentageChange!AO17-PercentageChange!AP17</f>
        <v>5.2275001110277941</v>
      </c>
      <c r="AP17" s="15">
        <f>(LN(RawData!AP18)-LN(RawData!AP17))*100</f>
        <v>1.4039251418171972</v>
      </c>
      <c r="AQ17" s="15">
        <f>+PercentageChange!AQ17-PercentageChange!AP17</f>
        <v>5.5053147357572385</v>
      </c>
      <c r="AR17" s="15">
        <f>+PercentageChange!AR17-PercentageChange!AS17</f>
        <v>0.9028091370694824</v>
      </c>
      <c r="AS17" s="15">
        <f>(LN(RawData!AS18)-LN(RawData!AS17))*100</f>
        <v>3.1522443855905635</v>
      </c>
      <c r="AT17" s="15">
        <f>+PercentageChange!AT17-PercentageChange!AS17</f>
        <v>3.7290332629464018</v>
      </c>
      <c r="AU17" s="15">
        <f>+PercentageChange!AU17-PercentageChange!AV17</f>
        <v>7.1292399496563519</v>
      </c>
      <c r="AV17" s="15">
        <f>(LN(RawData!AV18)-LN(RawData!AV17))*100</f>
        <v>4.8215857966862785</v>
      </c>
      <c r="AW17" s="15">
        <f>+PercentageChange!AW17-PercentageChange!AV17</f>
        <v>10.191562256768449</v>
      </c>
      <c r="AX17" s="15">
        <f>+PercentageChange!AX17-PercentageChange!AY17</f>
        <v>1.3091710496038189</v>
      </c>
      <c r="AY17" s="15">
        <f>(LN(RawData!AY18)-LN(RawData!AY17))*100</f>
        <v>3.1457798643060642</v>
      </c>
      <c r="AZ17" s="15">
        <f>+PercentageChange!AZ17-PercentageChange!AY17</f>
        <v>-3.6977546480034817</v>
      </c>
      <c r="BA17" s="15">
        <f>+PercentageChange!BA17-PercentageChange!BB17</f>
        <v>1.7266257079832315</v>
      </c>
      <c r="BB17" s="15">
        <f>(LN(RawData!BB18)-LN(RawData!BB17))*100</f>
        <v>2.4924974025726243</v>
      </c>
      <c r="BC17" s="15">
        <f>+PercentageChange!BC17-PercentageChange!BB17</f>
        <v>3.4608293691345438</v>
      </c>
    </row>
    <row r="18" spans="1:55" ht="16" x14ac:dyDescent="0.2">
      <c r="A18" s="16">
        <v>2015</v>
      </c>
      <c r="B18" s="15">
        <f>+PercentageChange!B18-PercentageChange!C18</f>
        <v>23.570426701738967</v>
      </c>
      <c r="C18" s="15">
        <f>(LN(RawData!C19)-LN(RawData!C18))*100</f>
        <v>2.6945291240490832</v>
      </c>
      <c r="D18" s="15">
        <f>+PercentageChange!D18-PercentageChange!C18</f>
        <v>26.051817782610343</v>
      </c>
      <c r="E18" s="15">
        <f>+PercentageChange!E18-PercentageChange!F18</f>
        <v>-0.62486949822186943</v>
      </c>
      <c r="F18" s="15">
        <f>(LN(RawData!F19)-LN(RawData!F18))*100</f>
        <v>2.1779203497143129</v>
      </c>
      <c r="G18" s="15">
        <f>+PercentageChange!G18-PercentageChange!F18</f>
        <v>4.3512091217740689</v>
      </c>
      <c r="H18" s="15">
        <f>+PercentageChange!H18-PercentageChange!I18</f>
        <v>7.2936053694689917</v>
      </c>
      <c r="I18" s="15">
        <f>(LN(RawData!I19)-LN(RawData!I18))*100</f>
        <v>-3.6101522175378875</v>
      </c>
      <c r="J18" s="15">
        <f>+PercentageChange!J18-PercentageChange!I18</f>
        <v>13.162465845410765</v>
      </c>
      <c r="K18" s="15">
        <f>+PercentageChange!K18-PercentageChange!L18</f>
        <v>-0.87143732180408051</v>
      </c>
      <c r="L18" s="15">
        <f>(LN(RawData!L19)-LN(RawData!L18))*100</f>
        <v>0.6478677907988839</v>
      </c>
      <c r="M18" s="15">
        <f>+PercentageChange!M18-PercentageChange!L18</f>
        <v>6.5357583351644877</v>
      </c>
      <c r="N18" s="15">
        <f>+PercentageChange!N18-PercentageChange!O18</f>
        <v>-2.9441369886029634E-3</v>
      </c>
      <c r="O18" s="15">
        <f>(LN(RawData!O19)-LN(RawData!O18))*100</f>
        <v>6.8044825101164719</v>
      </c>
      <c r="P18" s="15">
        <f>+PercentageChange!P18-PercentageChange!O18</f>
        <v>4.4192593843913386</v>
      </c>
      <c r="Q18" s="15">
        <f>+PercentageChange!Q18-PercentageChange!R18</f>
        <v>1.1318194755411071</v>
      </c>
      <c r="R18" s="15">
        <f>(LN(RawData!R19)-LN(RawData!R18))*100</f>
        <v>1.1067650385243155</v>
      </c>
      <c r="S18" s="15">
        <f>+PercentageChange!S18-PercentageChange!R18</f>
        <v>4.7326510990945536</v>
      </c>
      <c r="T18" s="15">
        <f>+PercentageChange!T18-PercentageChange!U18</f>
        <v>1.8367076052911102</v>
      </c>
      <c r="U18" s="15">
        <f>(LN(RawData!U19)-LN(RawData!U18))*100</f>
        <v>1.4809116995227356</v>
      </c>
      <c r="V18" s="15">
        <f>+PercentageChange!V18-PercentageChange!U18</f>
        <v>4.3585044380961335</v>
      </c>
      <c r="W18" s="15">
        <f>+PercentageChange!W18-PercentageChange!X18</f>
        <v>2.2539937329405291</v>
      </c>
      <c r="X18" s="15">
        <f>(LN(RawData!X19)-LN(RawData!X18))*100</f>
        <v>7.6926353364754618</v>
      </c>
      <c r="Y18" s="15">
        <f>+PercentageChange!Y18-PercentageChange!X18</f>
        <v>2.5575684710851476</v>
      </c>
      <c r="Z18" s="15">
        <f>+PercentageChange!Z18-PercentageChange!AA18</f>
        <v>3.9030720684117171</v>
      </c>
      <c r="AA18" s="15">
        <f>(LN(RawData!AA19)-LN(RawData!AA18))*100</f>
        <v>4.7611587065169658</v>
      </c>
      <c r="AB18" s="15">
        <f>+PercentageChange!AB18-PercentageChange!AA18</f>
        <v>7.2815497530928752</v>
      </c>
      <c r="AC18" s="15">
        <f>+PercentageChange!AC18-PercentageChange!AD18</f>
        <v>0.9275485124319971</v>
      </c>
      <c r="AD18" s="15">
        <f>(LN(RawData!AD19)-LN(RawData!AD18))*100</f>
        <v>0.77529118669730224</v>
      </c>
      <c r="AE18" s="15">
        <f>+PercentageChange!AE18-PercentageChange!AD18</f>
        <v>5.0641249509215669</v>
      </c>
      <c r="AF18" s="15">
        <f>+PercentageChange!AF18-PercentageChange!AG18</f>
        <v>2.0893199007346652</v>
      </c>
      <c r="AG18" s="15">
        <f>(LN(RawData!AG19)-LN(RawData!AG18))*100</f>
        <v>1.5485741533851183</v>
      </c>
      <c r="AH18" s="15">
        <f>+PercentageChange!AH18-PercentageChange!AG18</f>
        <v>1.3850412812626445</v>
      </c>
      <c r="AI18" s="15">
        <f>+PercentageChange!AI18-PercentageChange!AJ18</f>
        <v>3.1745041037478217</v>
      </c>
      <c r="AJ18" s="15">
        <f>(LN(RawData!AJ19)-LN(RawData!AJ18))*100</f>
        <v>2.6664554113168037</v>
      </c>
      <c r="AK18" s="15">
        <f>+PercentageChange!AK18-PercentageChange!AJ18</f>
        <v>5.8696976454111649</v>
      </c>
      <c r="AL18" s="15">
        <f>+PercentageChange!AL18-PercentageChange!AM18</f>
        <v>6.9989909409436279</v>
      </c>
      <c r="AM18" s="15">
        <f>(LN(RawData!AM19)-LN(RawData!AM18))*100</f>
        <v>-1.9924370809818015</v>
      </c>
      <c r="AN18" s="15">
        <f>+PercentageChange!AN18-PercentageChange!AM18</f>
        <v>18.892519689243059</v>
      </c>
      <c r="AO18" s="15">
        <f>+PercentageChange!AO18-PercentageChange!AP18</f>
        <v>5.3972220032104445</v>
      </c>
      <c r="AP18" s="15">
        <f>(LN(RawData!AP19)-LN(RawData!AP18))*100</f>
        <v>1.3132018731532469</v>
      </c>
      <c r="AQ18" s="15">
        <f>+PercentageChange!AQ18-PercentageChange!AP18</f>
        <v>7.1504912178033564</v>
      </c>
      <c r="AR18" s="15">
        <f>+PercentageChange!AR18-PercentageChange!AS18</f>
        <v>3.135908335144677</v>
      </c>
      <c r="AS18" s="15">
        <f>(LN(RawData!AS19)-LN(RawData!AS18))*100</f>
        <v>2.7703716305381931</v>
      </c>
      <c r="AT18" s="15">
        <f>+PercentageChange!AT18-PercentageChange!AS18</f>
        <v>6.6540232793943943</v>
      </c>
      <c r="AU18" s="15">
        <f>+PercentageChange!AU18-PercentageChange!AV18</f>
        <v>7.5524054814749775</v>
      </c>
      <c r="AV18" s="15">
        <f>(LN(RawData!AV19)-LN(RawData!AV18))*100</f>
        <v>5.9065636919552134</v>
      </c>
      <c r="AW18" s="15">
        <f>+PercentageChange!AW18-PercentageChange!AV18</f>
        <v>10.245683466924049</v>
      </c>
      <c r="AX18" s="15">
        <f>+PercentageChange!AX18-PercentageChange!AY18</f>
        <v>0.65881555800721969</v>
      </c>
      <c r="AY18" s="15">
        <f>(LN(RawData!AY19)-LN(RawData!AY18))*100</f>
        <v>2.1959694469053659</v>
      </c>
      <c r="AZ18" s="15">
        <f>+PercentageChange!AZ18-PercentageChange!AY18</f>
        <v>-2.3501267689612249</v>
      </c>
      <c r="BA18" s="15">
        <f>+PercentageChange!BA18-PercentageChange!BB18</f>
        <v>0.92376293651312835</v>
      </c>
      <c r="BB18" s="15">
        <f>(LN(RawData!BB19)-LN(RawData!BB18))*100</f>
        <v>2.9030026100510753</v>
      </c>
      <c r="BC18" s="15">
        <f>+PercentageChange!BC18-PercentageChange!BB18</f>
        <v>2.694373936450134</v>
      </c>
    </row>
    <row r="19" spans="1:55" ht="16" x14ac:dyDescent="0.2">
      <c r="A19" s="16">
        <v>2016</v>
      </c>
      <c r="B19" s="15">
        <f>+PercentageChange!B19-PercentageChange!C19</f>
        <v>34.443601275328106</v>
      </c>
      <c r="C19" s="15">
        <f>(LN(RawData!C20)-LN(RawData!C19))*100</f>
        <v>-2.1022715307477569</v>
      </c>
      <c r="D19" s="15">
        <f>+PercentageChange!D19-PercentageChange!C19</f>
        <v>31.122618432438287</v>
      </c>
      <c r="E19" s="15">
        <f>+PercentageChange!E19-PercentageChange!F19</f>
        <v>-0.65793152796871368</v>
      </c>
      <c r="F19" s="15">
        <f>(LN(RawData!F20)-LN(RawData!F19))*100</f>
        <v>2.7412253698159361</v>
      </c>
      <c r="G19" s="15">
        <f>+PercentageChange!G19-PercentageChange!F19</f>
        <v>3.0654915647840397</v>
      </c>
      <c r="H19" s="15">
        <f>+PercentageChange!H19-PercentageChange!I19</f>
        <v>7.7919880919921525</v>
      </c>
      <c r="I19" s="15">
        <f>(LN(RawData!I20)-LN(RawData!I19))*100</f>
        <v>-3.3307764979369381</v>
      </c>
      <c r="J19" s="15">
        <f>+PercentageChange!J19-PercentageChange!I19</f>
        <v>13.610253358313784</v>
      </c>
      <c r="K19" s="15">
        <f>+PercentageChange!K19-PercentageChange!L19</f>
        <v>0.71442007230615445</v>
      </c>
      <c r="L19" s="15">
        <f>(LN(RawData!L20)-LN(RawData!L19))*100</f>
        <v>1.033195045207691</v>
      </c>
      <c r="M19" s="15">
        <f>+PercentageChange!M19-PercentageChange!L19</f>
        <v>7.1763556031273268</v>
      </c>
      <c r="N19" s="15">
        <f>+PercentageChange!N19-PercentageChange!O19</f>
        <v>1.3975348573705304</v>
      </c>
      <c r="O19" s="15">
        <f>(LN(RawData!O20)-LN(RawData!O19))*100</f>
        <v>6.6244211292161737</v>
      </c>
      <c r="P19" s="15">
        <f>+PercentageChange!P19-PercentageChange!O19</f>
        <v>4.719631496124066</v>
      </c>
      <c r="Q19" s="15">
        <f>+PercentageChange!Q19-PercentageChange!R19</f>
        <v>0.52119873997895638</v>
      </c>
      <c r="R19" s="15">
        <f>(LN(RawData!R20)-LN(RawData!R19))*100</f>
        <v>1.0895076556419525</v>
      </c>
      <c r="S19" s="15">
        <f>+PercentageChange!S19-PercentageChange!R19</f>
        <v>3.6861499111775942</v>
      </c>
      <c r="T19" s="15">
        <f>+PercentageChange!T19-PercentageChange!U19</f>
        <v>1.3190148483523956</v>
      </c>
      <c r="U19" s="15">
        <f>(LN(RawData!U20)-LN(RawData!U19))*100</f>
        <v>2.205498948786655</v>
      </c>
      <c r="V19" s="15">
        <f>+PercentageChange!V19-PercentageChange!U19</f>
        <v>2.5701586180328917</v>
      </c>
      <c r="W19" s="15">
        <f>+PercentageChange!W19-PercentageChange!X19</f>
        <v>3.1866573703517531</v>
      </c>
      <c r="X19" s="15">
        <f>(LN(RawData!X20)-LN(RawData!X19))*100</f>
        <v>7.9331428637168244</v>
      </c>
      <c r="Y19" s="15">
        <f>+PercentageChange!Y19-PercentageChange!X19</f>
        <v>1.6854473650511181</v>
      </c>
      <c r="Z19" s="15">
        <f>+PercentageChange!Z19-PercentageChange!AA19</f>
        <v>2.4096572426714147</v>
      </c>
      <c r="AA19" s="15">
        <f>(LN(RawData!AA20)-LN(RawData!AA19))*100</f>
        <v>4.910505918290653</v>
      </c>
      <c r="AB19" s="15">
        <f>+PercentageChange!AB19-PercentageChange!AA19</f>
        <v>2.6190954984667059</v>
      </c>
      <c r="AC19" s="15">
        <f>+PercentageChange!AC19-PercentageChange!AD19</f>
        <v>1.1279645144803396</v>
      </c>
      <c r="AD19" s="15">
        <f>(LN(RawData!AD20)-LN(RawData!AD19))*100</f>
        <v>1.2851689438441838</v>
      </c>
      <c r="AE19" s="15">
        <f>+PercentageChange!AE19-PercentageChange!AD19</f>
        <v>3.4904886229753629</v>
      </c>
      <c r="AF19" s="15">
        <f>+PercentageChange!AF19-PercentageChange!AG19</f>
        <v>0.41906507053184328</v>
      </c>
      <c r="AG19" s="15">
        <f>(LN(RawData!AG20)-LN(RawData!AG19))*100</f>
        <v>0.75099967069931495</v>
      </c>
      <c r="AH19" s="15">
        <f>+PercentageChange!AH19-PercentageChange!AG19</f>
        <v>2.0562222555238208</v>
      </c>
      <c r="AI19" s="15">
        <f>+PercentageChange!AI19-PercentageChange!AJ19</f>
        <v>5.9000600966172101</v>
      </c>
      <c r="AJ19" s="15">
        <f>(LN(RawData!AJ20)-LN(RawData!AJ19))*100</f>
        <v>1.7569677672209849</v>
      </c>
      <c r="AK19" s="15">
        <f>+PercentageChange!AK19-PercentageChange!AJ19</f>
        <v>3.0024243292221087</v>
      </c>
      <c r="AL19" s="15">
        <f>+PercentageChange!AL19-PercentageChange!AM19</f>
        <v>2.8045256418693043</v>
      </c>
      <c r="AM19" s="15">
        <f>(LN(RawData!AM20)-LN(RawData!AM19))*100</f>
        <v>0.19350273390514872</v>
      </c>
      <c r="AN19" s="15">
        <f>+PercentageChange!AN19-PercentageChange!AM19</f>
        <v>11.343602138530251</v>
      </c>
      <c r="AO19" s="15">
        <f>+PercentageChange!AO19-PercentageChange!AP19</f>
        <v>6.7211557523783938</v>
      </c>
      <c r="AP19" s="15">
        <f>(LN(RawData!AP20)-LN(RawData!AP19))*100</f>
        <v>0.66235389337663264</v>
      </c>
      <c r="AQ19" s="15">
        <f>+PercentageChange!AQ19-PercentageChange!AP19</f>
        <v>5.5970753124837458</v>
      </c>
      <c r="AR19" s="15">
        <f>+PercentageChange!AR19-PercentageChange!AS19</f>
        <v>1.9665740530093956</v>
      </c>
      <c r="AS19" s="15">
        <f>(LN(RawData!AS20)-LN(RawData!AS19))*100</f>
        <v>2.9042957712611894</v>
      </c>
      <c r="AT19" s="15">
        <f>+PercentageChange!AT19-PercentageChange!AS19</f>
        <v>4.9462711896001821</v>
      </c>
      <c r="AU19" s="15">
        <f>+PercentageChange!AU19-PercentageChange!AV19</f>
        <v>7.8168442287097406</v>
      </c>
      <c r="AV19" s="15">
        <f>(LN(RawData!AV20)-LN(RawData!AV19))*100</f>
        <v>3.269063282438367</v>
      </c>
      <c r="AW19" s="15">
        <f>+PercentageChange!AW19-PercentageChange!AV19</f>
        <v>8.4658603042768732</v>
      </c>
      <c r="AX19" s="15">
        <f>+PercentageChange!AX19-PercentageChange!AY19</f>
        <v>1.945745277028621</v>
      </c>
      <c r="AY19" s="15">
        <f>(LN(RawData!AY20)-LN(RawData!AY19))*100</f>
        <v>1.9028439587941648</v>
      </c>
      <c r="AZ19" s="15">
        <f>+PercentageChange!AZ19-PercentageChange!AY19</f>
        <v>4.7193578988848017</v>
      </c>
      <c r="BA19" s="15">
        <f>+PercentageChange!BA19-PercentageChange!BB19</f>
        <v>0.9458353210550996</v>
      </c>
      <c r="BB19" s="15">
        <f>(LN(RawData!BB20)-LN(RawData!BB19))*100</f>
        <v>1.8030975266153604</v>
      </c>
      <c r="BC19" s="15">
        <f>+PercentageChange!BC19-PercentageChange!BB19</f>
        <v>4.7341162360911682</v>
      </c>
    </row>
    <row r="20" spans="1:55" ht="16" x14ac:dyDescent="0.2">
      <c r="A20" s="16">
        <v>2017</v>
      </c>
      <c r="B20" s="15">
        <f>+PercentageChange!B20-PercentageChange!C20</f>
        <v>23.116234890326481</v>
      </c>
      <c r="C20" s="15">
        <f>(LN(RawData!C21)-LN(RawData!C20))*100</f>
        <v>2.7795140892727943</v>
      </c>
      <c r="D20" s="15">
        <f>+PercentageChange!D20-PercentageChange!C20</f>
        <v>28.717294421544182</v>
      </c>
      <c r="E20" s="15">
        <f>+PercentageChange!E20-PercentageChange!F20</f>
        <v>3.5861546781607245</v>
      </c>
      <c r="F20" s="15">
        <f>(LN(RawData!F21)-LN(RawData!F20))*100</f>
        <v>2.2922357705954965</v>
      </c>
      <c r="G20" s="15">
        <f>+PercentageChange!G20-PercentageChange!F20</f>
        <v>4.2367532738598612</v>
      </c>
      <c r="H20" s="15">
        <f>+PercentageChange!H20-PercentageChange!I20</f>
        <v>3.6055946256787763</v>
      </c>
      <c r="I20" s="15">
        <f>(LN(RawData!I21)-LN(RawData!I20))*100</f>
        <v>1.3141955503691349</v>
      </c>
      <c r="J20" s="15">
        <f>+PercentageChange!J20-PercentageChange!I20</f>
        <v>7.8504148096538273</v>
      </c>
      <c r="K20" s="15">
        <f>+PercentageChange!K20-PercentageChange!L20</f>
        <v>2.5385198592456248</v>
      </c>
      <c r="L20" s="15">
        <f>(LN(RawData!L21)-LN(RawData!L20))*100</f>
        <v>2.988724249921404</v>
      </c>
      <c r="M20" s="15">
        <f>+PercentageChange!M20-PercentageChange!L20</f>
        <v>2.9810809850784992</v>
      </c>
      <c r="N20" s="15">
        <f>+PercentageChange!N20-PercentageChange!O20</f>
        <v>4.1455540749602449</v>
      </c>
      <c r="O20" s="15">
        <f>(LN(RawData!O21)-LN(RawData!O20))*100</f>
        <v>6.7165076157287729</v>
      </c>
      <c r="P20" s="15">
        <f>+PercentageChange!P20-PercentageChange!O20</f>
        <v>2.4754568278478217</v>
      </c>
      <c r="Q20" s="15">
        <f>+PercentageChange!Q20-PercentageChange!R20</f>
        <v>0.5202217603844872</v>
      </c>
      <c r="R20" s="15">
        <f>(LN(RawData!R21)-LN(RawData!R20))*100</f>
        <v>2.2655612427389116</v>
      </c>
      <c r="S20" s="15">
        <f>+PercentageChange!S20-PercentageChange!R20</f>
        <v>2.355393392322469</v>
      </c>
      <c r="T20" s="15">
        <f>+PercentageChange!T20-PercentageChange!U20</f>
        <v>1.4925449146812042</v>
      </c>
      <c r="U20" s="15">
        <f>(LN(RawData!U21)-LN(RawData!U20))*100</f>
        <v>2.6449420830964243</v>
      </c>
      <c r="V20" s="15">
        <f>+PercentageChange!V20-PercentageChange!U20</f>
        <v>1.9760125519649563</v>
      </c>
      <c r="W20" s="15">
        <f>+PercentageChange!W20-PercentageChange!X20</f>
        <v>3.8925072662664206</v>
      </c>
      <c r="X20" s="15">
        <f>(LN(RawData!X21)-LN(RawData!X20))*100</f>
        <v>6.5744513189720521</v>
      </c>
      <c r="Y20" s="15">
        <f>+PercentageChange!Y20-PercentageChange!X20</f>
        <v>0.32943910097600337</v>
      </c>
      <c r="Z20" s="15">
        <f>+PercentageChange!Z20-PercentageChange!AA20</f>
        <v>4.203097338186268</v>
      </c>
      <c r="AA20" s="15">
        <f>(LN(RawData!AA21)-LN(RawData!AA20))*100</f>
        <v>4.9454571034196704</v>
      </c>
      <c r="AB20" s="15">
        <f>+PercentageChange!AB20-PercentageChange!AA20</f>
        <v>4.4882094004528028</v>
      </c>
      <c r="AC20" s="15">
        <f>+PercentageChange!AC20-PercentageChange!AD20</f>
        <v>0.72371805274116241</v>
      </c>
      <c r="AD20" s="15">
        <f>(LN(RawData!AD21)-LN(RawData!AD20))*100</f>
        <v>1.6541030155238445</v>
      </c>
      <c r="AE20" s="15">
        <f>+PercentageChange!AE20-PercentageChange!AD20</f>
        <v>2.9668516195375361</v>
      </c>
      <c r="AF20" s="15">
        <f>+PercentageChange!AF20-PercentageChange!AG20</f>
        <v>-7.4377156679616974E-2</v>
      </c>
      <c r="AG20" s="15">
        <f>(LN(RawData!AG21)-LN(RawData!AG20))*100</f>
        <v>1.6614528663552619</v>
      </c>
      <c r="AH20" s="15">
        <f>+PercentageChange!AH20-PercentageChange!AG20</f>
        <v>1.6465551730576067</v>
      </c>
      <c r="AI20" s="15">
        <f>+PercentageChange!AI20-PercentageChange!AJ20</f>
        <v>6.3609292003050655</v>
      </c>
      <c r="AJ20" s="15">
        <f>(LN(RawData!AJ21)-LN(RawData!AJ20))*100</f>
        <v>1.8544272500474079</v>
      </c>
      <c r="AK20" s="15">
        <f>+PercentageChange!AK20-PercentageChange!AJ20</f>
        <v>5.3435243015275802</v>
      </c>
      <c r="AL20" s="15">
        <f>+PercentageChange!AL20-PercentageChange!AM20</f>
        <v>5.2116199041542188</v>
      </c>
      <c r="AM20" s="15">
        <f>(LN(RawData!AM21)-LN(RawData!AM20))*100</f>
        <v>1.8093226554029229</v>
      </c>
      <c r="AN20" s="15">
        <f>+PercentageChange!AN20-PercentageChange!AM20</f>
        <v>0.87383946434727022</v>
      </c>
      <c r="AO20" s="15">
        <f>+PercentageChange!AO20-PercentageChange!AP20</f>
        <v>5.3287862673808917</v>
      </c>
      <c r="AP20" s="15">
        <f>(LN(RawData!AP21)-LN(RawData!AP20))*100</f>
        <v>1.1512940548584538</v>
      </c>
      <c r="AQ20" s="15">
        <f>+PercentageChange!AQ20-PercentageChange!AP20</f>
        <v>5.0283578794667605</v>
      </c>
      <c r="AR20" s="15">
        <f>+PercentageChange!AR20-PercentageChange!AS20</f>
        <v>2.1984376740512346</v>
      </c>
      <c r="AS20" s="15">
        <f>(LN(RawData!AS21)-LN(RawData!AS20))*100</f>
        <v>3.110746400027864</v>
      </c>
      <c r="AT20" s="15">
        <f>+PercentageChange!AT20-PercentageChange!AS20</f>
        <v>3.3438286103894654</v>
      </c>
      <c r="AU20" s="15">
        <f>+PercentageChange!AU20-PercentageChange!AV20</f>
        <v>10.420163943505401</v>
      </c>
      <c r="AV20" s="15">
        <f>(LN(RawData!AV21)-LN(RawData!AV20))*100</f>
        <v>7.2339242701644935</v>
      </c>
      <c r="AW20" s="15">
        <f>+PercentageChange!AW20-PercentageChange!AV20</f>
        <v>9.9602752686781315</v>
      </c>
      <c r="AX20" s="15">
        <f>+PercentageChange!AX20-PercentageChange!AY20</f>
        <v>1.8395176975815275</v>
      </c>
      <c r="AY20" s="15">
        <f>(LN(RawData!AY21)-LN(RawData!AY20))*100</f>
        <v>2.6204344159104664</v>
      </c>
      <c r="AZ20" s="15">
        <f>+PercentageChange!AZ20-PercentageChange!AY20</f>
        <v>5.3865749192581802</v>
      </c>
      <c r="BA20" s="15">
        <f>+PercentageChange!BA20-PercentageChange!BB20</f>
        <v>1.7749573031096588</v>
      </c>
      <c r="BB20" s="15">
        <f>(LN(RawData!BB21)-LN(RawData!BB20))*100</f>
        <v>2.4279086159321395</v>
      </c>
      <c r="BC20" s="15">
        <f>+PercentageChange!BC20-PercentageChange!BB20</f>
        <v>3.0570120180478</v>
      </c>
    </row>
    <row r="21" spans="1:55" ht="16" x14ac:dyDescent="0.2">
      <c r="A21" s="16">
        <v>2018</v>
      </c>
      <c r="B21" s="15">
        <f>+PercentageChange!B21-PercentageChange!C21</f>
        <v>35.089394884267122</v>
      </c>
      <c r="C21" s="15">
        <f>(LN(RawData!C22)-LN(RawData!C21))*100</f>
        <v>-2.6522599739838171</v>
      </c>
      <c r="D21" s="15">
        <f>+PercentageChange!D21-PercentageChange!C21</f>
        <v>40.640136392527992</v>
      </c>
      <c r="E21" s="15">
        <f>+PercentageChange!E21-PercentageChange!F21</f>
        <v>1.8613787916311963</v>
      </c>
      <c r="F21" s="15">
        <f>(LN(RawData!F22)-LN(RawData!F21))*100</f>
        <v>2.8649292793275549</v>
      </c>
      <c r="G21" s="15">
        <f>+PercentageChange!G21-PercentageChange!F21</f>
        <v>-0.27610231296861798</v>
      </c>
      <c r="H21" s="15">
        <f>+PercentageChange!H21-PercentageChange!I21</f>
        <v>4.3955011075517803</v>
      </c>
      <c r="I21" s="15">
        <f>(LN(RawData!I22)-LN(RawData!I21))*100</f>
        <v>1.7679460871018904</v>
      </c>
      <c r="J21" s="15">
        <f>+PercentageChange!J21-PercentageChange!I21</f>
        <v>5.3944677087121917</v>
      </c>
      <c r="K21" s="15">
        <f>+PercentageChange!K21-PercentageChange!L21</f>
        <v>1.6376354499797685</v>
      </c>
      <c r="L21" s="15">
        <f>(LN(RawData!L22)-LN(RawData!L21))*100</f>
        <v>2.7060182621088558</v>
      </c>
      <c r="M21" s="15">
        <f>+PercentageChange!M21-PercentageChange!L21</f>
        <v>2.1398730990817683</v>
      </c>
      <c r="N21" s="15">
        <f>+PercentageChange!N21-PercentageChange!O21</f>
        <v>3.439898841167377</v>
      </c>
      <c r="O21" s="15">
        <f>(LN(RawData!O22)-LN(RawData!O21))*100</f>
        <v>6.5317347453252239</v>
      </c>
      <c r="P21" s="15">
        <f>+PercentageChange!P21-PercentageChange!O21</f>
        <v>1.9384941100692998</v>
      </c>
      <c r="Q21" s="15">
        <f>+PercentageChange!Q21-PercentageChange!R21</f>
        <v>0.98733433984001806</v>
      </c>
      <c r="R21" s="15">
        <f>(LN(RawData!R22)-LN(RawData!R21))*100</f>
        <v>1.8478869857158742</v>
      </c>
      <c r="S21" s="15">
        <f>+PercentageChange!S21-PercentageChange!R21</f>
        <v>1.9088919926577574</v>
      </c>
      <c r="T21" s="15">
        <f>+PercentageChange!T21-PercentageChange!U21</f>
        <v>1.9876079905493782</v>
      </c>
      <c r="U21" s="15">
        <f>(LN(RawData!U22)-LN(RawData!U21))*100</f>
        <v>0.9764497805143435</v>
      </c>
      <c r="V21" s="15">
        <f>+PercentageChange!V21-PercentageChange!U21</f>
        <v>2.7803291978592881</v>
      </c>
      <c r="W21" s="15">
        <f>+PercentageChange!W21-PercentageChange!X21</f>
        <v>3.8107018917735047</v>
      </c>
      <c r="X21" s="15">
        <f>(LN(RawData!X22)-LN(RawData!X21))*100</f>
        <v>6.254138454639957</v>
      </c>
      <c r="Y21" s="15">
        <f>+PercentageChange!Y21-PercentageChange!X21</f>
        <v>3.3081795324676477</v>
      </c>
      <c r="Z21" s="15">
        <f>+PercentageChange!Z21-PercentageChange!AA21</f>
        <v>3.7472296808388705</v>
      </c>
      <c r="AA21" s="15">
        <f>(LN(RawData!AA22)-LN(RawData!AA21))*100</f>
        <v>5.0448707450122754</v>
      </c>
      <c r="AB21" s="15">
        <f>+PercentageChange!AB21-PercentageChange!AA21</f>
        <v>1.6052788920717376</v>
      </c>
      <c r="AC21" s="15">
        <f>+PercentageChange!AC21-PercentageChange!AD21</f>
        <v>1.0624678151391009</v>
      </c>
      <c r="AD21" s="15">
        <f>(LN(RawData!AD22)-LN(RawData!AD21))*100</f>
        <v>0.92155158042181995</v>
      </c>
      <c r="AE21" s="15">
        <f>+PercentageChange!AE21-PercentageChange!AD21</f>
        <v>2.8352273979518117</v>
      </c>
      <c r="AF21" s="15">
        <f>+PercentageChange!AF21-PercentageChange!AG21</f>
        <v>-2.3750666926503072E-4</v>
      </c>
      <c r="AG21" s="15">
        <f>(LN(RawData!AG22)-LN(RawData!AG21))*100</f>
        <v>0.64133009856206513</v>
      </c>
      <c r="AH21" s="15">
        <f>+PercentageChange!AH21-PercentageChange!AG21</f>
        <v>1.8566438159059118</v>
      </c>
      <c r="AI21" s="15">
        <f>+PercentageChange!AI21-PercentageChange!AJ21</f>
        <v>5.0735888864725354</v>
      </c>
      <c r="AJ21" s="15">
        <f>(LN(RawData!AJ22)-LN(RawData!AJ21))*100</f>
        <v>1.9528884871910179</v>
      </c>
      <c r="AK21" s="15">
        <f>+PercentageChange!AK21-PercentageChange!AJ21</f>
        <v>4.5816798667907221</v>
      </c>
      <c r="AL21" s="15">
        <f>+PercentageChange!AL21-PercentageChange!AM21</f>
        <v>9.5291786103189224</v>
      </c>
      <c r="AM21" s="15">
        <f>(LN(RawData!AM22)-LN(RawData!AM21))*100</f>
        <v>2.7685645197152553</v>
      </c>
      <c r="AN21" s="15">
        <f>+PercentageChange!AN21-PercentageChange!AM21</f>
        <v>6.1483067319096918</v>
      </c>
      <c r="AO21" s="15">
        <f>+PercentageChange!AO21-PercentageChange!AP21</f>
        <v>3.9156240739348647</v>
      </c>
      <c r="AP21" s="15">
        <f>(LN(RawData!AP22)-LN(RawData!AP21))*100</f>
        <v>1.5447902832356419</v>
      </c>
      <c r="AQ21" s="15">
        <f>+PercentageChange!AQ21-PercentageChange!AP21</f>
        <v>4.4544757288804249</v>
      </c>
      <c r="AR21" s="15">
        <f>+PercentageChange!AR21-PercentageChange!AS21</f>
        <v>0.48178652571664315</v>
      </c>
      <c r="AS21" s="15">
        <f>(LN(RawData!AS22)-LN(RawData!AS21))*100</f>
        <v>2.8659405417791106</v>
      </c>
      <c r="AT21" s="15">
        <f>+PercentageChange!AT21-PercentageChange!AS21</f>
        <v>3.9141353414656521</v>
      </c>
      <c r="AU21" s="15">
        <f>+PercentageChange!AU21-PercentageChange!AV21</f>
        <v>15.282648456617309</v>
      </c>
      <c r="AV21" s="15">
        <f>(LN(RawData!AV22)-LN(RawData!AV21))*100</f>
        <v>2.9686754331684995</v>
      </c>
      <c r="AW21" s="15">
        <f>+PercentageChange!AW21-PercentageChange!AV21</f>
        <v>15.129118115853579</v>
      </c>
      <c r="AX21" s="15">
        <f>+PercentageChange!AX21-PercentageChange!AY21</f>
        <v>1.9038142932689794</v>
      </c>
      <c r="AY21" s="15">
        <f>(LN(RawData!AY22)-LN(RawData!AY21))*100</f>
        <v>1.3940301766435681</v>
      </c>
      <c r="AZ21" s="15">
        <f>+PercentageChange!AZ21-PercentageChange!AY21</f>
        <v>2.0211906466737872</v>
      </c>
      <c r="BA21" s="15">
        <f>+PercentageChange!BA21-PercentageChange!BB21</f>
        <v>2.2650433885285537</v>
      </c>
      <c r="BB21" s="15">
        <f>(LN(RawData!BB22)-LN(RawData!BB21))*100</f>
        <v>2.9233555869282668</v>
      </c>
      <c r="BC21" s="15">
        <f>+PercentageChange!BC21-PercentageChange!BB21</f>
        <v>0.81715532000465885</v>
      </c>
    </row>
    <row r="22" spans="1:55" ht="16" x14ac:dyDescent="0.2">
      <c r="A22" s="16">
        <v>2019</v>
      </c>
      <c r="B22" s="15">
        <f>+PercentageChange!B22-PercentageChange!C22</f>
        <v>40.008787037514537</v>
      </c>
      <c r="C22" s="15">
        <f>(LN(RawData!C23)-LN(RawData!C22))*100</f>
        <v>-2.0211493099562716</v>
      </c>
      <c r="D22" s="15">
        <f>+PercentageChange!D22-PercentageChange!C22</f>
        <v>30.431640577643293</v>
      </c>
      <c r="E22" s="15">
        <f>+PercentageChange!E22-PercentageChange!F22</f>
        <v>3.4050860310138376</v>
      </c>
      <c r="F22" s="15">
        <f>(LN(RawData!F23)-LN(RawData!F22))*100</f>
        <v>2.1576632290077669</v>
      </c>
      <c r="G22" s="15">
        <f>+PercentageChange!G22-PercentageChange!F22</f>
        <v>0.80892569133297343</v>
      </c>
      <c r="H22" s="15">
        <f>+PercentageChange!H22-PercentageChange!I22</f>
        <v>4.1374726877897672</v>
      </c>
      <c r="I22" s="15">
        <f>(LN(RawData!I23)-LN(RawData!I22))*100</f>
        <v>1.2133864253677018</v>
      </c>
      <c r="J22" s="15">
        <f>+PercentageChange!J22-PercentageChange!I22</f>
        <v>6.9252342324677585</v>
      </c>
      <c r="K22" s="15">
        <f>+PercentageChange!K22-PercentageChange!L22</f>
        <v>1.534240857067104</v>
      </c>
      <c r="L22" s="15">
        <f>(LN(RawData!L23)-LN(RawData!L22))*100</f>
        <v>1.8904497876988557</v>
      </c>
      <c r="M22" s="15">
        <f>+PercentageChange!M22-PercentageChange!L22</f>
        <v>5.5542540093533432</v>
      </c>
      <c r="N22" s="15">
        <f>+PercentageChange!N22-PercentageChange!O22</f>
        <v>1.2784927483124875</v>
      </c>
      <c r="O22" s="15">
        <f>(LN(RawData!O23)-LN(RawData!O22))*100</f>
        <v>5.7801825035710408</v>
      </c>
      <c r="P22" s="15">
        <f>+PercentageChange!P22-PercentageChange!O22</f>
        <v>2.2576482165678868</v>
      </c>
      <c r="Q22" s="15">
        <f>+PercentageChange!Q22-PercentageChange!R22</f>
        <v>1.2704871702251097</v>
      </c>
      <c r="R22" s="15">
        <f>(LN(RawData!R23)-LN(RawData!R22))*100</f>
        <v>1.8261949045616177</v>
      </c>
      <c r="S22" s="15">
        <f>+PercentageChange!S22-PercentageChange!R22</f>
        <v>3.2318716230829381</v>
      </c>
      <c r="T22" s="15">
        <f>+PercentageChange!T22-PercentageChange!U22</f>
        <v>2.1079351657093071</v>
      </c>
      <c r="U22" s="15">
        <f>(LN(RawData!U23)-LN(RawData!U22))*100</f>
        <v>1.0697295723890221</v>
      </c>
      <c r="V22" s="15">
        <f>+PercentageChange!V22-PercentageChange!U22</f>
        <v>3.9883369552555337</v>
      </c>
      <c r="W22" s="15">
        <f>+PercentageChange!W22-PercentageChange!X22</f>
        <v>2.3770403692338959</v>
      </c>
      <c r="X22" s="15">
        <f>(LN(RawData!X23)-LN(RawData!X22))*100</f>
        <v>3.7983765186069718</v>
      </c>
      <c r="Y22" s="15">
        <f>+PercentageChange!Y22-PercentageChange!X22</f>
        <v>5.9638469917011605</v>
      </c>
      <c r="Z22" s="15">
        <f>+PercentageChange!Z22-PercentageChange!AA22</f>
        <v>1.5858472075564123</v>
      </c>
      <c r="AA22" s="15">
        <f>(LN(RawData!AA23)-LN(RawData!AA22))*100</f>
        <v>4.8973839494969695</v>
      </c>
      <c r="AB22" s="15">
        <f>+PercentageChange!AB22-PercentageChange!AA22</f>
        <v>1.644323553377447</v>
      </c>
      <c r="AC22" s="15">
        <f>+PercentageChange!AC22-PercentageChange!AD22</f>
        <v>0.9337411720110822</v>
      </c>
      <c r="AD22" s="15">
        <f>(LN(RawData!AD23)-LN(RawData!AD22))*100</f>
        <v>0.48203466053671207</v>
      </c>
      <c r="AE22" s="15">
        <f>+PercentageChange!AE22-PercentageChange!AD22</f>
        <v>4.5760318671078437</v>
      </c>
      <c r="AF22" s="15">
        <f>+PercentageChange!AF22-PercentageChange!AG22</f>
        <v>0.6327967770019427</v>
      </c>
      <c r="AG22" s="15">
        <f>(LN(RawData!AG23)-LN(RawData!AG22))*100</f>
        <v>-0.40298007603141173</v>
      </c>
      <c r="AH22" s="15">
        <f>+PercentageChange!AH22-PercentageChange!AG22</f>
        <v>2.404875407858853</v>
      </c>
      <c r="AI22" s="15">
        <f>+PercentageChange!AI22-PercentageChange!AJ22</f>
        <v>4.1712222739615612</v>
      </c>
      <c r="AJ22" s="15">
        <f>(LN(RawData!AJ23)-LN(RawData!AJ22))*100</f>
        <v>-0.25165213345879067</v>
      </c>
      <c r="AK22" s="15">
        <f>+PercentageChange!AK22-PercentageChange!AJ22</f>
        <v>6.6471277633617376</v>
      </c>
      <c r="AL22" s="15">
        <f>+PercentageChange!AL22-PercentageChange!AM22</f>
        <v>3.2110232135643457</v>
      </c>
      <c r="AM22" s="15">
        <f>(LN(RawData!AM23)-LN(RawData!AM22))*100</f>
        <v>2.174266296775329</v>
      </c>
      <c r="AN22" s="15">
        <f>+PercentageChange!AN22-PercentageChange!AM22</f>
        <v>5.9573951876778608</v>
      </c>
      <c r="AO22" s="15">
        <f>+PercentageChange!AO22-PercentageChange!AP22</f>
        <v>4.5102656428912979</v>
      </c>
      <c r="AP22" s="15">
        <f>(LN(RawData!AP23)-LN(RawData!AP22))*100</f>
        <v>0.25959832864792531</v>
      </c>
      <c r="AQ22" s="15">
        <f>+PercentageChange!AQ22-PercentageChange!AP22</f>
        <v>6.7198650503232926</v>
      </c>
      <c r="AR22" s="15">
        <f>+PercentageChange!AR22-PercentageChange!AS22</f>
        <v>-0.84286747715438537</v>
      </c>
      <c r="AS22" s="15">
        <f>(LN(RawData!AS23)-LN(RawData!AS22))*100</f>
        <v>2.2191710966730227</v>
      </c>
      <c r="AT22" s="15">
        <f>+PercentageChange!AT22-PercentageChange!AS22</f>
        <v>5.4239459356423936</v>
      </c>
      <c r="AU22" s="15">
        <f>+PercentageChange!AU22-PercentageChange!AV22</f>
        <v>12.986737174833607</v>
      </c>
      <c r="AV22" s="15">
        <f>(LN(RawData!AV23)-LN(RawData!AV22))*100</f>
        <v>0.8151941811725294</v>
      </c>
      <c r="AW22" s="15">
        <f>+PercentageChange!AW22-PercentageChange!AV22</f>
        <v>18.584258865188907</v>
      </c>
      <c r="AX22" s="15">
        <f>+PercentageChange!AX22-PercentageChange!AY22</f>
        <v>2.0936618819376918</v>
      </c>
      <c r="AY22" s="15">
        <f>(LN(RawData!AY23)-LN(RawData!AY22))*100</f>
        <v>1.6282822360778937</v>
      </c>
      <c r="AZ22" s="15">
        <f>+PercentageChange!AZ22-PercentageChange!AY22</f>
        <v>-0.44311969719181832</v>
      </c>
      <c r="BA22" s="15">
        <f>+PercentageChange!BA22-PercentageChange!BB22</f>
        <v>1.6645766064225853</v>
      </c>
      <c r="BB22" s="15">
        <f>(LN(RawData!BB23)-LN(RawData!BB22))*100</f>
        <v>2.4370976121044663</v>
      </c>
      <c r="BC22" s="15">
        <f>+PercentageChange!BC22-PercentageChange!BB22</f>
        <v>2.5450803296198643</v>
      </c>
    </row>
    <row r="23" spans="1:55" ht="16" x14ac:dyDescent="0.2">
      <c r="A23" s="16">
        <v>2020</v>
      </c>
      <c r="B23" s="15">
        <f>+PercentageChange!B23-PercentageChange!C23</f>
        <v>33.706554487333662</v>
      </c>
      <c r="C23" s="15">
        <f>(LN(RawData!C24)-LN(RawData!C23))*100</f>
        <v>-10.425540222785656</v>
      </c>
      <c r="D23" s="15">
        <f>+PercentageChange!D23-PercentageChange!C23</f>
        <v>51.480135573556041</v>
      </c>
      <c r="E23" s="15">
        <f>+PercentageChange!E23-PercentageChange!F23</f>
        <v>2.0917940803045099</v>
      </c>
      <c r="F23" s="15">
        <f>(LN(RawData!F24)-LN(RawData!F23))*100</f>
        <v>-0.33524768705426311</v>
      </c>
      <c r="G23" s="15">
        <f>+PercentageChange!G23-PercentageChange!F23</f>
        <v>8.7509413182038642</v>
      </c>
      <c r="H23" s="15">
        <f>+PercentageChange!H23-PercentageChange!I23</f>
        <v>6.2716546169607312</v>
      </c>
      <c r="I23" s="15">
        <f>(LN(RawData!I24)-LN(RawData!I23))*100</f>
        <v>-3.3316469040329366</v>
      </c>
      <c r="J23" s="15">
        <f>+PercentageChange!J23-PercentageChange!I23</f>
        <v>16.316315364439227</v>
      </c>
      <c r="K23" s="15">
        <f>+PercentageChange!K23-PercentageChange!L23</f>
        <v>1.0651176966266718</v>
      </c>
      <c r="L23" s="15">
        <f>(LN(RawData!L24)-LN(RawData!L23))*100</f>
        <v>-5.1695832671885711</v>
      </c>
      <c r="M23" s="15">
        <f>+PercentageChange!M23-PercentageChange!L23</f>
        <v>17.300278678670011</v>
      </c>
      <c r="N23" s="15">
        <f>+PercentageChange!N23-PercentageChange!O23</f>
        <v>0.49128513392844297</v>
      </c>
      <c r="O23" s="15">
        <f>(LN(RawData!O24)-LN(RawData!O23))*100</f>
        <v>2.2139486441595579</v>
      </c>
      <c r="P23" s="15">
        <f>+PercentageChange!P23-PercentageChange!O23</f>
        <v>7.6155328391781296</v>
      </c>
      <c r="Q23" s="15">
        <f>+PercentageChange!Q23-PercentageChange!R23</f>
        <v>2.8002992553489037</v>
      </c>
      <c r="R23" s="15">
        <f>(LN(RawData!R24)-LN(RawData!R23))*100</f>
        <v>-7.8399033506688198</v>
      </c>
      <c r="S23" s="15">
        <f>+PercentageChange!S23-PercentageChange!R23</f>
        <v>16.201067362386823</v>
      </c>
      <c r="T23" s="15">
        <f>+PercentageChange!T23-PercentageChange!U23</f>
        <v>1.8552686131918961</v>
      </c>
      <c r="U23" s="15">
        <f>(LN(RawData!U24)-LN(RawData!U23))*100</f>
        <v>-3.9019128121314139</v>
      </c>
      <c r="V23" s="15">
        <f>+PercentageChange!V23-PercentageChange!U23</f>
        <v>12.263076823849417</v>
      </c>
      <c r="W23" s="15">
        <f>+PercentageChange!W23-PercentageChange!X23</f>
        <v>4.7025349885181811</v>
      </c>
      <c r="X23" s="15">
        <f>(LN(RawData!X24)-LN(RawData!X23))*100</f>
        <v>-5.9513564280052833</v>
      </c>
      <c r="Y23" s="15">
        <f>+PercentageChange!Y23-PercentageChange!X23</f>
        <v>16.964937464754115</v>
      </c>
      <c r="Z23" s="15">
        <f>+PercentageChange!Z23-PercentageChange!AA23</f>
        <v>-0.40246022098884282</v>
      </c>
      <c r="AA23" s="15">
        <f>(LN(RawData!AA24)-LN(RawData!AA23))*100</f>
        <v>-2.0871418909791828</v>
      </c>
      <c r="AB23" s="15">
        <f>+PercentageChange!AB23-PercentageChange!AA23</f>
        <v>12.247452468396958</v>
      </c>
      <c r="AC23" s="15">
        <f>+PercentageChange!AC23-PercentageChange!AD23</f>
        <v>1.5668322795928447</v>
      </c>
      <c r="AD23" s="15">
        <f>(LN(RawData!AD24)-LN(RawData!AD23))*100</f>
        <v>-9.4027116608735639</v>
      </c>
      <c r="AE23" s="15">
        <f>+PercentageChange!AE23-PercentageChange!AD23</f>
        <v>17.763875672591567</v>
      </c>
      <c r="AF23" s="15">
        <f>+PercentageChange!AF23-PercentageChange!AG23</f>
        <v>0.93704568259909138</v>
      </c>
      <c r="AG23" s="15">
        <f>(LN(RawData!AG24)-LN(RawData!AG23))*100</f>
        <v>-4.2355658518104633</v>
      </c>
      <c r="AH23" s="15">
        <f>+PercentageChange!AH23-PercentageChange!AG23</f>
        <v>9.4635584058679001</v>
      </c>
      <c r="AI23" s="15">
        <f>+PercentageChange!AI23-PercentageChange!AJ23</f>
        <v>4.7064520741141536</v>
      </c>
      <c r="AJ23" s="15">
        <f>(LN(RawData!AJ24)-LN(RawData!AJ23))*100</f>
        <v>-9.0193405886754618</v>
      </c>
      <c r="AK23" s="15">
        <f>+PercentageChange!AK23-PercentageChange!AJ23</f>
        <v>17.853009611071258</v>
      </c>
      <c r="AL23" s="15">
        <f>+PercentageChange!AL23-PercentageChange!AM23</f>
        <v>0.89423579418408394</v>
      </c>
      <c r="AM23" s="15">
        <f>(LN(RawData!AM24)-LN(RawData!AM23))*100</f>
        <v>-2.6894994689904195</v>
      </c>
      <c r="AN23" s="15">
        <f>+PercentageChange!AN23-PercentageChange!AM23</f>
        <v>14.442578313462207</v>
      </c>
      <c r="AO23" s="15">
        <f>+PercentageChange!AO23-PercentageChange!AP23</f>
        <v>5.1259188838923109</v>
      </c>
      <c r="AP23" s="15">
        <f>(LN(RawData!AP24)-LN(RawData!AP23))*100</f>
        <v>-6.1485673123922169</v>
      </c>
      <c r="AQ23" s="15">
        <f>+PercentageChange!AQ23-PercentageChange!AP23</f>
        <v>15.275196682477699</v>
      </c>
      <c r="AR23" s="15">
        <f>+PercentageChange!AR23-PercentageChange!AS23</f>
        <v>1.5516463204029662</v>
      </c>
      <c r="AS23" s="15">
        <f>(LN(RawData!AS24)-LN(RawData!AS23))*100</f>
        <v>-0.71194367475939657</v>
      </c>
      <c r="AT23" s="15">
        <f>+PercentageChange!AT23-PercentageChange!AS23</f>
        <v>8.6535583030602936</v>
      </c>
      <c r="AU23" s="15">
        <f>+PercentageChange!AU23-PercentageChange!AV23</f>
        <v>13.792874780660469</v>
      </c>
      <c r="AV23" s="15">
        <f>(LN(RawData!AV24)-LN(RawData!AV23))*100</f>
        <v>1.8427561640457668</v>
      </c>
      <c r="AW23" s="15">
        <f>+PercentageChange!AW23-PercentageChange!AV23</f>
        <v>29.794886769897744</v>
      </c>
      <c r="AX23" s="15">
        <f>+PercentageChange!AX23-PercentageChange!AY23</f>
        <v>4.9586260810496441</v>
      </c>
      <c r="AY23" s="15">
        <f>(LN(RawData!AY24)-LN(RawData!AY23))*100</f>
        <v>-10.936743061666476</v>
      </c>
      <c r="AZ23" s="15">
        <f>+PercentageChange!AZ23-PercentageChange!AY23</f>
        <v>19.633892224245031</v>
      </c>
      <c r="BA23" s="15">
        <f>+PercentageChange!BA23-PercentageChange!BB23</f>
        <v>1.3119742515218746</v>
      </c>
      <c r="BB23" s="15">
        <f>(LN(RawData!BB24)-LN(RawData!BB23))*100</f>
        <v>-2.2383341672387758</v>
      </c>
      <c r="BC23" s="15">
        <f>+PercentageChange!BC23-PercentageChange!BB23</f>
        <v>19.691126725818364</v>
      </c>
    </row>
    <row r="24" spans="1:55" ht="16" x14ac:dyDescent="0.2">
      <c r="A24" s="16">
        <v>2021</v>
      </c>
      <c r="B24" s="15">
        <f>+PercentageChange!B24-PercentageChange!C24</f>
        <v>43.074583978356529</v>
      </c>
      <c r="C24" s="15">
        <f>(LN(RawData!C25)-LN(RawData!C24))*100</f>
        <v>10.181633185511885</v>
      </c>
      <c r="D24" s="15">
        <f>+PercentageChange!D24-PercentageChange!C24</f>
        <v>30.097943672484462</v>
      </c>
      <c r="E24" s="15">
        <f>+PercentageChange!E24-PercentageChange!F24</f>
        <v>3.0323307641118902</v>
      </c>
      <c r="F24" s="15">
        <f>(LN(RawData!F25)-LN(RawData!F24))*100</f>
        <v>2.0898407976350342</v>
      </c>
      <c r="G24" s="15">
        <f>+PercentageChange!G24-PercentageChange!F24</f>
        <v>6.282060612261553</v>
      </c>
      <c r="H24" s="15">
        <f>+PercentageChange!H24-PercentageChange!I24</f>
        <v>12.263587160267875</v>
      </c>
      <c r="I24" s="15">
        <f>(LN(RawData!I25)-LN(RawData!I24))*100</f>
        <v>4.6526693776598904</v>
      </c>
      <c r="J24" s="15">
        <f>+PercentageChange!J24-PercentageChange!I24</f>
        <v>7.682255497736179</v>
      </c>
      <c r="K24" s="15">
        <f>+PercentageChange!K24-PercentageChange!L24</f>
        <v>7.3853118604819912</v>
      </c>
      <c r="L24" s="15">
        <f>(LN(RawData!L25)-LN(RawData!L24))*100</f>
        <v>5.1519359298012546</v>
      </c>
      <c r="M24" s="15">
        <f>+PercentageChange!M24-PercentageChange!L24</f>
        <v>1.6454081393996844</v>
      </c>
      <c r="N24" s="15">
        <f>+PercentageChange!N24-PercentageChange!O24</f>
        <v>4.4517492905100653</v>
      </c>
      <c r="O24" s="15">
        <f>(LN(RawData!O25)-LN(RawData!O24))*100</f>
        <v>8.1104937924457943</v>
      </c>
      <c r="P24" s="15">
        <f>+PercentageChange!P24-PercentageChange!O24</f>
        <v>0.2507807020947439</v>
      </c>
      <c r="Q24" s="15">
        <f>+PercentageChange!Q24-PercentageChange!R24</f>
        <v>1.4139053515012989</v>
      </c>
      <c r="R24" s="15">
        <f>(LN(RawData!R25)-LN(RawData!R24))*100</f>
        <v>6.2366253669402738</v>
      </c>
      <c r="S24" s="15">
        <f>+PercentageChange!S24-PercentageChange!R24</f>
        <v>1.9966294915310101</v>
      </c>
      <c r="T24" s="15">
        <f>+PercentageChange!T24-PercentageChange!U24</f>
        <v>2.9749444978278916</v>
      </c>
      <c r="U24" s="15">
        <f>(LN(RawData!U25)-LN(RawData!U24))*100</f>
        <v>3.1148023633260635</v>
      </c>
      <c r="V24" s="15">
        <f>+PercentageChange!V24-PercentageChange!U24</f>
        <v>5.1184524951452204</v>
      </c>
      <c r="W24" s="15">
        <f>+PercentageChange!W24-PercentageChange!X24</f>
        <v>8.0241835983258625</v>
      </c>
      <c r="X24" s="15">
        <f>(LN(RawData!X25)-LN(RawData!X24))*100</f>
        <v>9.2484304339471635</v>
      </c>
      <c r="Y24" s="15">
        <f>+PercentageChange!Y24-PercentageChange!X24</f>
        <v>0.90244048552818867</v>
      </c>
      <c r="Z24" s="15">
        <f>+PercentageChange!Z24-PercentageChange!AA24</f>
        <v>5.8306390641902794</v>
      </c>
      <c r="AA24" s="15">
        <f>(LN(RawData!AA25)-LN(RawData!AA24))*100</f>
        <v>3.6359755555288586</v>
      </c>
      <c r="AB24" s="15">
        <f>+PercentageChange!AB24-PercentageChange!AA24</f>
        <v>6.0165088100905706</v>
      </c>
      <c r="AC24" s="15">
        <f>+PercentageChange!AC24-PercentageChange!AD24</f>
        <v>1.2505197633817744</v>
      </c>
      <c r="AD24" s="15">
        <f>(LN(RawData!AD25)-LN(RawData!AD24))*100</f>
        <v>7.9829514866812445</v>
      </c>
      <c r="AE24" s="15">
        <f>+PercentageChange!AE24-PercentageChange!AD24</f>
        <v>0.25030337179003936</v>
      </c>
      <c r="AF24" s="15">
        <f>+PercentageChange!AF24-PercentageChange!AG24</f>
        <v>-0.1902414692459331</v>
      </c>
      <c r="AG24" s="15">
        <f>(LN(RawData!AG25)-LN(RawData!AG24))*100</f>
        <v>2.5271179224084506</v>
      </c>
      <c r="AH24" s="15">
        <f>+PercentageChange!AH24-PercentageChange!AG24</f>
        <v>2.8576402463315276</v>
      </c>
      <c r="AI24" s="15">
        <f>+PercentageChange!AI24-PercentageChange!AJ24</f>
        <v>4.4367948615512631</v>
      </c>
      <c r="AJ24" s="15">
        <f>(LN(RawData!AJ25)-LN(RawData!AJ24))*100</f>
        <v>5.5805577914728843</v>
      </c>
      <c r="AK24" s="15">
        <f>+PercentageChange!AK24-PercentageChange!AJ24</f>
        <v>0.67624989683388037</v>
      </c>
      <c r="AL24" s="15">
        <f>+PercentageChange!AL24-PercentageChange!AM24</f>
        <v>17.740607107765527</v>
      </c>
      <c r="AM24" s="15">
        <f>(LN(RawData!AM25)-LN(RawData!AM24))*100</f>
        <v>5.4623501656649864</v>
      </c>
      <c r="AN24" s="15">
        <f>+PercentageChange!AN24-PercentageChange!AM24</f>
        <v>5.4217378174612918</v>
      </c>
      <c r="AO24" s="15">
        <f>+PercentageChange!AO24-PercentageChange!AP24</f>
        <v>6.2976004569904376</v>
      </c>
      <c r="AP24" s="15">
        <f>(LN(RawData!AP25)-LN(RawData!AP24))*100</f>
        <v>4.5958177543429457</v>
      </c>
      <c r="AQ24" s="15">
        <f>+PercentageChange!AQ24-PercentageChange!AP24</f>
        <v>-0.75212794264860605</v>
      </c>
      <c r="AR24" s="15">
        <f>+PercentageChange!AR24-PercentageChange!AS24</f>
        <v>2.7254517779681464</v>
      </c>
      <c r="AS24" s="15">
        <f>(LN(RawData!AS25)-LN(RawData!AS24))*100</f>
        <v>4.21465711442508</v>
      </c>
      <c r="AT24" s="15">
        <f>+PercentageChange!AT24-PercentageChange!AS24</f>
        <v>4.6297263621529083</v>
      </c>
      <c r="AU24" s="15">
        <f>+PercentageChange!AU24-PercentageChange!AV24</f>
        <v>25.443302140148205</v>
      </c>
      <c r="AV24" s="15">
        <f>(LN(RawData!AV25)-LN(RawData!AV24))*100</f>
        <v>10.831062251202894</v>
      </c>
      <c r="AW24" s="15">
        <f>+PercentageChange!AW24-PercentageChange!AV24</f>
        <v>14.559343358313726</v>
      </c>
      <c r="AX24" s="15">
        <f>+PercentageChange!AX24-PercentageChange!AY24</f>
        <v>-0.12049965717615407</v>
      </c>
      <c r="AY24" s="15">
        <f>(LN(RawData!AY25)-LN(RawData!AY24))*100</f>
        <v>8.3190708571454053</v>
      </c>
      <c r="AZ24" s="15">
        <f>+PercentageChange!AZ24-PercentageChange!AY24</f>
        <v>-0.8103739038688218</v>
      </c>
      <c r="BA24" s="15">
        <f>+PercentageChange!BA24-PercentageChange!BB24</f>
        <v>4.4827517138301687</v>
      </c>
      <c r="BB24" s="15">
        <f>(LN(RawData!BB25)-LN(RawData!BB24))*100</f>
        <v>5.6382281718306615</v>
      </c>
      <c r="BC24" s="15">
        <f>+PercentageChange!BC24-PercentageChange!BB24</f>
        <v>9.3044050988154936</v>
      </c>
    </row>
    <row r="25" spans="1:55" ht="16" x14ac:dyDescent="0.2">
      <c r="A25" s="16">
        <v>2022</v>
      </c>
      <c r="B25" s="15">
        <f>+PercentageChange!B25-PercentageChange!C25</f>
        <v>52.751304827151912</v>
      </c>
      <c r="C25" s="15">
        <f>(LN(RawData!C26)-LN(RawData!C25))*100</f>
        <v>4.8374553625642136</v>
      </c>
      <c r="D25" s="15">
        <f>+PercentageChange!D25-PercentageChange!C25</f>
        <v>44.44697262487658</v>
      </c>
      <c r="E25" s="15">
        <f>+PercentageChange!E25-PercentageChange!F25</f>
        <v>6.8808227852230175</v>
      </c>
      <c r="F25" s="15">
        <f>(LN(RawData!F26)-LN(RawData!F25))*100</f>
        <v>4.1803398163708039</v>
      </c>
      <c r="G25" s="15">
        <f>+PercentageChange!G25-PercentageChange!F25</f>
        <v>3.9858553679042785</v>
      </c>
      <c r="H25" s="15">
        <f>+PercentageChange!H25-PercentageChange!I25</f>
        <v>8.222753722404974</v>
      </c>
      <c r="I25" s="15">
        <f>(LN(RawData!I26)-LN(RawData!I25))*100</f>
        <v>2.9720870213939321</v>
      </c>
      <c r="J25" s="15">
        <f>+PercentageChange!J25-PercentageChange!I25</f>
        <v>7.2348884063705654</v>
      </c>
      <c r="K25" s="15">
        <f>+PercentageChange!K25-PercentageChange!L25</f>
        <v>7.3750521881635223</v>
      </c>
      <c r="L25" s="15">
        <f>(LN(RawData!L26)-LN(RawData!L25))*100</f>
        <v>3.7487156981285352</v>
      </c>
      <c r="M25" s="15">
        <f>+PercentageChange!M25-PercentageChange!L25</f>
        <v>4.4035713960216327</v>
      </c>
      <c r="N25" s="15">
        <f>+PercentageChange!N25-PercentageChange!O25</f>
        <v>1.7699452881771549</v>
      </c>
      <c r="O25" s="15">
        <f>(LN(RawData!O26)-LN(RawData!O25))*100</f>
        <v>2.9452816879029342</v>
      </c>
      <c r="P25" s="15">
        <f>+PercentageChange!P25-PercentageChange!O25</f>
        <v>7.658898549537696</v>
      </c>
      <c r="Q25" s="15">
        <f>+PercentageChange!Q25-PercentageChange!R25</f>
        <v>2.9046213891689376</v>
      </c>
      <c r="R25" s="15">
        <f>(LN(RawData!R26)-LN(RawData!R25))*100</f>
        <v>2.4251131509082313</v>
      </c>
      <c r="S25" s="15">
        <f>+PercentageChange!S25-PercentageChange!R25</f>
        <v>3.31089284857633</v>
      </c>
      <c r="T25" s="15">
        <f>+PercentageChange!T25-PercentageChange!U25</f>
        <v>5.1342384707769639</v>
      </c>
      <c r="U25" s="15">
        <f>(LN(RawData!U26)-LN(RawData!U25))*100</f>
        <v>1.7900908088083867</v>
      </c>
      <c r="V25" s="15">
        <f>+PercentageChange!V25-PercentageChange!U25</f>
        <v>3.9459151906761747</v>
      </c>
      <c r="W25" s="15">
        <f>+PercentageChange!W25-PercentageChange!X25</f>
        <v>6.5296169204785315</v>
      </c>
      <c r="X25" s="15">
        <f>(LN(RawData!X26)-LN(RawData!X25))*100</f>
        <v>6.753751334061775</v>
      </c>
      <c r="Y25" s="15">
        <f>+PercentageChange!Y25-PercentageChange!X25</f>
        <v>1.6147654832760594</v>
      </c>
      <c r="Z25" s="15">
        <f>+PercentageChange!Z25-PercentageChange!AA25</f>
        <v>9.1363190181155574</v>
      </c>
      <c r="AA25" s="15">
        <f>(LN(RawData!AA26)-LN(RawData!AA25))*100</f>
        <v>5.1713689812707742</v>
      </c>
      <c r="AB25" s="15">
        <f>+PercentageChange!AB25-PercentageChange!AA25</f>
        <v>5.1497727248008829</v>
      </c>
      <c r="AC25" s="15">
        <f>+PercentageChange!AC25-PercentageChange!AD25</f>
        <v>3.5411352957467557</v>
      </c>
      <c r="AD25" s="15">
        <f>(LN(RawData!AD26)-LN(RawData!AD25))*100</f>
        <v>3.908510244430019</v>
      </c>
      <c r="AE25" s="15">
        <f>+PercentageChange!AE25-PercentageChange!AD25</f>
        <v>1.8274957550545423</v>
      </c>
      <c r="AF25" s="15">
        <f>+PercentageChange!AF25-PercentageChange!AG25</f>
        <v>0.33342340309374663</v>
      </c>
      <c r="AG25" s="15">
        <f>(LN(RawData!AG26)-LN(RawData!AG25))*100</f>
        <v>0.95020812734532001</v>
      </c>
      <c r="AH25" s="15">
        <f>+PercentageChange!AH25-PercentageChange!AG25</f>
        <v>1.9287239326022387</v>
      </c>
      <c r="AI25" s="15">
        <f>+PercentageChange!AI25-PercentageChange!AJ25</f>
        <v>6.2431386019564883</v>
      </c>
      <c r="AJ25" s="15">
        <f>(LN(RawData!AJ26)-LN(RawData!AJ25))*100</f>
        <v>3.8730208250786546</v>
      </c>
      <c r="AK25" s="15">
        <f>+PercentageChange!AK25-PercentageChange!AJ25</f>
        <v>2.0784034157752984</v>
      </c>
      <c r="AL25" s="15">
        <f>+PercentageChange!AL25-PercentageChange!AM25</f>
        <v>15.456722786444743</v>
      </c>
      <c r="AM25" s="15">
        <f>(LN(RawData!AM26)-LN(RawData!AM25))*100</f>
        <v>-2.0914302536020557</v>
      </c>
      <c r="AN25" s="15">
        <f>+PercentageChange!AN25-PercentageChange!AM25</f>
        <v>12.099986858973821</v>
      </c>
      <c r="AO25" s="15">
        <f>+PercentageChange!AO25-PercentageChange!AP25</f>
        <v>4.6496909634129224</v>
      </c>
      <c r="AP25" s="15">
        <f>(LN(RawData!AP26)-LN(RawData!AP25))*100</f>
        <v>1.8923870420781697</v>
      </c>
      <c r="AQ25" s="15">
        <f>+PercentageChange!AQ25-PercentageChange!AP25</f>
        <v>5.7971888523928428</v>
      </c>
      <c r="AR25" s="15">
        <f>+PercentageChange!AR25-PercentageChange!AS25</f>
        <v>1.2674563038892472</v>
      </c>
      <c r="AS25" s="15">
        <f>(LN(RawData!AS26)-LN(RawData!AS25))*100</f>
        <v>2.5791249763798874</v>
      </c>
      <c r="AT25" s="15">
        <f>+PercentageChange!AT25-PercentageChange!AS25</f>
        <v>3.9252270578398196</v>
      </c>
      <c r="AU25" s="15">
        <f>+PercentageChange!AU25-PercentageChange!AV25</f>
        <v>67.312871628899984</v>
      </c>
      <c r="AV25" s="15">
        <f>(LN(RawData!AV26)-LN(RawData!AV25))*100</f>
        <v>5.385796084386385</v>
      </c>
      <c r="AW25" s="15">
        <f>+PercentageChange!AW25-PercentageChange!AV25</f>
        <v>46.877063788427442</v>
      </c>
      <c r="AX25" s="15">
        <f>+PercentageChange!AX25-PercentageChange!AY25</f>
        <v>5.0182671232835929</v>
      </c>
      <c r="AY25" s="15">
        <f>(LN(RawData!AY26)-LN(RawData!AY25))*100</f>
        <v>4.2534723771698424</v>
      </c>
      <c r="AZ25" s="15">
        <f>+PercentageChange!AZ25-PercentageChange!AY25</f>
        <v>1.4497998952474944</v>
      </c>
      <c r="BA25" s="15">
        <f>+PercentageChange!BA25-PercentageChange!BB25</f>
        <v>6.8041995018003121</v>
      </c>
      <c r="BB25" s="15">
        <f>(LN(RawData!BB26)-LN(RawData!BB25))*100</f>
        <v>1.9170034063343167</v>
      </c>
      <c r="BC25" s="15">
        <f>+PercentageChange!BC25-PercentageChange!BB25</f>
        <v>3.1042003798905426</v>
      </c>
    </row>
    <row r="26" spans="1:55" ht="16" x14ac:dyDescent="0.2">
      <c r="A26" s="16">
        <v>2023</v>
      </c>
      <c r="B26" s="15">
        <f>+PercentageChange!B26-PercentageChange!C26</f>
        <v>84.946636729608116</v>
      </c>
      <c r="C26" s="15">
        <f>(LN(RawData!C27)-LN(RawData!C26))*100</f>
        <v>-1.5626475239983506</v>
      </c>
      <c r="D26" s="15">
        <f>+PercentageChange!D26-PercentageChange!C26</f>
        <v>75.225810149359162</v>
      </c>
      <c r="E26" s="15">
        <f>+PercentageChange!E26-PercentageChange!F26</f>
        <v>6.3513392921088041</v>
      </c>
      <c r="F26" s="15">
        <f>(LN(RawData!F27)-LN(RawData!F26))*100</f>
        <v>2.9723721685957827</v>
      </c>
      <c r="G26" s="15">
        <f>+PercentageChange!G26-PercentageChange!F26</f>
        <v>2.1943572512505227</v>
      </c>
      <c r="H26" s="15">
        <f>+PercentageChange!H26-PercentageChange!I26</f>
        <v>4.553721008186784</v>
      </c>
      <c r="I26" s="15">
        <f>(LN(RawData!I27)-LN(RawData!I26))*100</f>
        <v>2.8669868292514167</v>
      </c>
      <c r="J26" s="15">
        <f>+PercentageChange!J26-PercentageChange!I26</f>
        <v>7.3368733881423509</v>
      </c>
      <c r="K26" s="15">
        <f>+PercentageChange!K26-PercentageChange!L26</f>
        <v>1.5924940441333746</v>
      </c>
      <c r="L26" s="15">
        <f>(LN(RawData!L27)-LN(RawData!L26))*100</f>
        <v>1.0603527894954112</v>
      </c>
      <c r="M26" s="15">
        <f>+PercentageChange!M26-PercentageChange!L26</f>
        <v>4.68607024921468</v>
      </c>
      <c r="N26" s="15">
        <f>+PercentageChange!N26-PercentageChange!O26</f>
        <v>-0.53700902986832943</v>
      </c>
      <c r="O26" s="15">
        <f>(LN(RawData!O27)-LN(RawData!O26))*100</f>
        <v>5.0693114314299237</v>
      </c>
      <c r="P26" s="15">
        <f>+PercentageChange!P26-PercentageChange!O26</f>
        <v>5.5639159850535691</v>
      </c>
      <c r="Q26" s="15">
        <f>+PercentageChange!Q26-PercentageChange!R26</f>
        <v>5.3278488972068772</v>
      </c>
      <c r="R26" s="15">
        <f>(LN(RawData!R27)-LN(RawData!R26))*100</f>
        <v>0.70125400320009135</v>
      </c>
      <c r="S26" s="15">
        <f>+PercentageChange!S26-PercentageChange!R26</f>
        <v>-0.20653088383362217</v>
      </c>
      <c r="T26" s="15">
        <f>+PercentageChange!T26-PercentageChange!U26</f>
        <v>6.4176031092316066</v>
      </c>
      <c r="U26" s="15">
        <f>(LN(RawData!U27)-LN(RawData!U26))*100</f>
        <v>-0.30540044853069048</v>
      </c>
      <c r="V26" s="15">
        <f>+PercentageChange!V26-PercentageChange!U26</f>
        <v>0.80012356789715966</v>
      </c>
      <c r="W26" s="15">
        <f>+PercentageChange!W26-PercentageChange!X26</f>
        <v>1.3572151555010237</v>
      </c>
      <c r="X26" s="15">
        <f>(LN(RawData!X27)-LN(RawData!X26))*100</f>
        <v>7.3101483396918354</v>
      </c>
      <c r="Y26" s="15">
        <f>+PercentageChange!Y26-PercentageChange!X26</f>
        <v>2.7213196551961971</v>
      </c>
      <c r="Z26" s="15">
        <f>+PercentageChange!Z26-PercentageChange!AA26</f>
        <v>1.5214408414976788</v>
      </c>
      <c r="AA26" s="15">
        <f>(LN(RawData!AA27)-LN(RawData!AA26))*100</f>
        <v>4.9248209447561919</v>
      </c>
      <c r="AB26" s="15">
        <f>+PercentageChange!AB26-PercentageChange!AA26</f>
        <v>0.60410324344601918</v>
      </c>
      <c r="AC26" s="15">
        <f>+PercentageChange!AC26-PercentageChange!AD26</f>
        <v>5.1388827141956028</v>
      </c>
      <c r="AD26" s="15">
        <f>(LN(RawData!AD27)-LN(RawData!AD26))*100</f>
        <v>0.91647967957264598</v>
      </c>
      <c r="AE26" s="15">
        <f>+PercentageChange!AE26-PercentageChange!AD26</f>
        <v>-0.4217565602061768</v>
      </c>
      <c r="AF26" s="15">
        <f>+PercentageChange!AF26-PercentageChange!AG26</f>
        <v>3.6839151824445082</v>
      </c>
      <c r="AG26" s="15">
        <f>(LN(RawData!AG27)-LN(RawData!AG26))*100</f>
        <v>1.9047985082686125</v>
      </c>
      <c r="AH26" s="15">
        <f>+PercentageChange!AH26-PercentageChange!AG26</f>
        <v>4.3607766599507158E-2</v>
      </c>
      <c r="AI26" s="15">
        <f>+PercentageChange!AI26-PercentageChange!AJ26</f>
        <v>4.3902876338382413</v>
      </c>
      <c r="AJ26" s="15">
        <f>(LN(RawData!AJ27)-LN(RawData!AJ26))*100</f>
        <v>3.1777085231460944</v>
      </c>
      <c r="AK26" s="15">
        <f>+PercentageChange!AK26-PercentageChange!AJ26</f>
        <v>5.2867764454013866</v>
      </c>
      <c r="AL26" s="15">
        <f>+PercentageChange!AL26-PercentageChange!AM26</f>
        <v>6.8346277106201114</v>
      </c>
      <c r="AM26" s="15">
        <f>(LN(RawData!AM27)-LN(RawData!AM26))*100</f>
        <v>3.5367143837291337</v>
      </c>
      <c r="AN26" s="15">
        <f>+PercentageChange!AN26-PercentageChange!AM26</f>
        <v>13.82723484424897</v>
      </c>
      <c r="AO26" s="15">
        <f>+PercentageChange!AO26-PercentageChange!AP26</f>
        <v>4.4253829183329429</v>
      </c>
      <c r="AP26" s="15">
        <f>(LN(RawData!AP27)-LN(RawData!AP26))*100</f>
        <v>0.5998595428735598</v>
      </c>
      <c r="AQ26" s="15">
        <f>+PercentageChange!AQ26-PercentageChange!AP26</f>
        <v>7.7999733007906968</v>
      </c>
      <c r="AR26" s="15">
        <f>+PercentageChange!AR26-PercentageChange!AS26</f>
        <v>2.043060617052106</v>
      </c>
      <c r="AS26" s="15">
        <f>(LN(RawData!AS27)-LN(RawData!AS26))*100</f>
        <v>1.3476120254338753</v>
      </c>
      <c r="AT26" s="15">
        <f>+PercentageChange!AT26-PercentageChange!AS26</f>
        <v>1.4910212141490575</v>
      </c>
      <c r="AU26" s="15">
        <f>+PercentageChange!AU26-PercentageChange!AV26</f>
        <v>51.565443867077576</v>
      </c>
      <c r="AV26" s="15">
        <f>(LN(RawData!AV27)-LN(RawData!AV26))*100</f>
        <v>4.4178274383160243</v>
      </c>
      <c r="AW26" s="15">
        <f>+PercentageChange!AW26-PercentageChange!AV26</f>
        <v>44.533267968644985</v>
      </c>
      <c r="AX26" s="15">
        <f>+PercentageChange!AX26-PercentageChange!AY26</f>
        <v>6.8774636896215213</v>
      </c>
      <c r="AY26" s="15">
        <f>(LN(RawData!AY27)-LN(RawData!AY26))*100</f>
        <v>0.10396378808010809</v>
      </c>
      <c r="AZ26" s="15">
        <f>+PercentageChange!AZ26-PercentageChange!AY26</f>
        <v>-0.95946433689491073</v>
      </c>
      <c r="BA26" s="15">
        <f>+PercentageChange!BA26-PercentageChange!BB26</f>
        <v>3.580136663115141</v>
      </c>
      <c r="BB26" s="15">
        <f>(LN(RawData!BB27)-LN(RawData!BB26))*100</f>
        <v>2.5109114122393805</v>
      </c>
      <c r="BC26" s="15">
        <f>+PercentageChange!BC26-PercentageChange!BB26</f>
        <v>-6.027263288751783</v>
      </c>
    </row>
    <row r="27" spans="1:55" ht="16" x14ac:dyDescent="0.2">
      <c r="A27" s="11"/>
    </row>
    <row r="28" spans="1:55" ht="16" x14ac:dyDescent="0.2">
      <c r="A28" s="11"/>
    </row>
    <row r="29" spans="1:55" ht="16" x14ac:dyDescent="0.2">
      <c r="A29" s="11"/>
    </row>
    <row r="30" spans="1:55" ht="16" x14ac:dyDescent="0.2">
      <c r="A30" s="11"/>
    </row>
    <row r="31" spans="1:55" ht="16" x14ac:dyDescent="0.2">
      <c r="A31" s="11"/>
    </row>
    <row r="32" spans="1:55" ht="16" x14ac:dyDescent="0.2">
      <c r="A32" s="11"/>
    </row>
    <row r="33" spans="1:1" ht="16" x14ac:dyDescent="0.2">
      <c r="A33" s="11"/>
    </row>
    <row r="34" spans="1:1" ht="16" x14ac:dyDescent="0.2">
      <c r="A34" s="11"/>
    </row>
    <row r="35" spans="1:1" ht="16" x14ac:dyDescent="0.2">
      <c r="A35" s="11"/>
    </row>
    <row r="36" spans="1:1" ht="16" x14ac:dyDescent="0.2">
      <c r="A36" s="11"/>
    </row>
    <row r="37" spans="1:1" ht="16" x14ac:dyDescent="0.2">
      <c r="A37" s="11"/>
    </row>
    <row r="38" spans="1:1" ht="16" x14ac:dyDescent="0.2">
      <c r="A38" s="11"/>
    </row>
    <row r="39" spans="1:1" ht="16" x14ac:dyDescent="0.2">
      <c r="A39" s="11"/>
    </row>
    <row r="40" spans="1:1" ht="16" x14ac:dyDescent="0.2">
      <c r="A40" s="11"/>
    </row>
    <row r="41" spans="1:1" ht="16" x14ac:dyDescent="0.2">
      <c r="A41" s="11"/>
    </row>
    <row r="42" spans="1:1" ht="16" x14ac:dyDescent="0.2">
      <c r="A42" s="11"/>
    </row>
    <row r="43" spans="1:1" ht="16" x14ac:dyDescent="0.2">
      <c r="A43" s="11"/>
    </row>
    <row r="44" spans="1:1" ht="16" x14ac:dyDescent="0.2">
      <c r="A44" s="11"/>
    </row>
    <row r="45" spans="1:1" ht="16" x14ac:dyDescent="0.2">
      <c r="A45" s="11"/>
    </row>
    <row r="46" spans="1:1" ht="16" x14ac:dyDescent="0.2">
      <c r="A46" s="11"/>
    </row>
    <row r="47" spans="1:1" ht="16" x14ac:dyDescent="0.2">
      <c r="A47" s="11"/>
    </row>
    <row r="48" spans="1:1" ht="16" x14ac:dyDescent="0.2">
      <c r="A48" s="11"/>
    </row>
    <row r="49" spans="1:1" ht="16" x14ac:dyDescent="0.2">
      <c r="A49" s="11"/>
    </row>
    <row r="50" spans="1:1" ht="16" x14ac:dyDescent="0.2">
      <c r="A50" s="11"/>
    </row>
    <row r="51" spans="1:1" ht="16" x14ac:dyDescent="0.2">
      <c r="A51" s="11"/>
    </row>
    <row r="52" spans="1:1" ht="16" x14ac:dyDescent="0.2">
      <c r="A52" s="11"/>
    </row>
    <row r="53" spans="1:1" ht="16" x14ac:dyDescent="0.2">
      <c r="A53" s="11"/>
    </row>
    <row r="54" spans="1:1" ht="16" x14ac:dyDescent="0.2">
      <c r="A54" s="11"/>
    </row>
    <row r="55" spans="1:1" ht="16" x14ac:dyDescent="0.2">
      <c r="A55" s="11"/>
    </row>
    <row r="56" spans="1:1" ht="16" x14ac:dyDescent="0.2">
      <c r="A56" s="11"/>
    </row>
    <row r="57" spans="1:1" ht="16" x14ac:dyDescent="0.2">
      <c r="A57" s="11"/>
    </row>
    <row r="58" spans="1:1" ht="16" x14ac:dyDescent="0.2">
      <c r="A58" s="11"/>
    </row>
    <row r="59" spans="1:1" ht="16" x14ac:dyDescent="0.2">
      <c r="A59" s="11"/>
    </row>
    <row r="60" spans="1:1" ht="16" x14ac:dyDescent="0.2">
      <c r="A60" s="11"/>
    </row>
    <row r="61" spans="1:1" ht="16" x14ac:dyDescent="0.2">
      <c r="A61" s="11"/>
    </row>
    <row r="62" spans="1:1" ht="16" x14ac:dyDescent="0.2">
      <c r="A62" s="11"/>
    </row>
    <row r="63" spans="1:1" ht="16" x14ac:dyDescent="0.2">
      <c r="A63" s="11"/>
    </row>
    <row r="64" spans="1:1" ht="16" x14ac:dyDescent="0.2">
      <c r="A64" s="11"/>
    </row>
    <row r="65" spans="1:1" ht="16" x14ac:dyDescent="0.2">
      <c r="A65" s="11"/>
    </row>
    <row r="66" spans="1:1" ht="16" x14ac:dyDescent="0.2">
      <c r="A66" s="11"/>
    </row>
    <row r="67" spans="1:1" ht="16" x14ac:dyDescent="0.2">
      <c r="A67" s="11"/>
    </row>
    <row r="68" spans="1:1" ht="16" x14ac:dyDescent="0.2">
      <c r="A68" s="11"/>
    </row>
    <row r="69" spans="1:1" ht="16" x14ac:dyDescent="0.2">
      <c r="A69" s="11"/>
    </row>
    <row r="70" spans="1:1" ht="16" x14ac:dyDescent="0.2">
      <c r="A70" s="11"/>
    </row>
    <row r="71" spans="1:1" ht="16" x14ac:dyDescent="0.2">
      <c r="A71" s="11"/>
    </row>
    <row r="72" spans="1:1" ht="16" x14ac:dyDescent="0.2">
      <c r="A72" s="11"/>
    </row>
    <row r="73" spans="1:1" ht="16" x14ac:dyDescent="0.2">
      <c r="A73" s="11"/>
    </row>
    <row r="74" spans="1:1" ht="16" x14ac:dyDescent="0.2">
      <c r="A74" s="11"/>
    </row>
    <row r="75" spans="1:1" ht="16" x14ac:dyDescent="0.2">
      <c r="A75" s="11"/>
    </row>
    <row r="76" spans="1:1" ht="16" x14ac:dyDescent="0.2">
      <c r="A76" s="11"/>
    </row>
    <row r="77" spans="1:1" ht="16" x14ac:dyDescent="0.2">
      <c r="A77" s="11"/>
    </row>
    <row r="78" spans="1:1" ht="16" x14ac:dyDescent="0.2">
      <c r="A78" s="11"/>
    </row>
    <row r="79" spans="1:1" ht="16" x14ac:dyDescent="0.2">
      <c r="A79" s="11"/>
    </row>
    <row r="80" spans="1:1" ht="16" x14ac:dyDescent="0.2">
      <c r="A80" s="11"/>
    </row>
    <row r="81" spans="1:1" ht="16" x14ac:dyDescent="0.2">
      <c r="A81" s="11"/>
    </row>
    <row r="82" spans="1:1" ht="16" x14ac:dyDescent="0.2">
      <c r="A82" s="11"/>
    </row>
    <row r="83" spans="1:1" ht="16" x14ac:dyDescent="0.2">
      <c r="A83" s="11"/>
    </row>
    <row r="84" spans="1:1" ht="16" x14ac:dyDescent="0.2">
      <c r="A84" s="11"/>
    </row>
    <row r="85" spans="1:1" ht="16" x14ac:dyDescent="0.2">
      <c r="A85" s="11"/>
    </row>
    <row r="86" spans="1:1" ht="16" x14ac:dyDescent="0.2">
      <c r="A86" s="11"/>
    </row>
    <row r="87" spans="1:1" ht="16" x14ac:dyDescent="0.2">
      <c r="A87" s="11"/>
    </row>
    <row r="88" spans="1:1" ht="16" x14ac:dyDescent="0.2">
      <c r="A88" s="11"/>
    </row>
    <row r="89" spans="1:1" ht="16" x14ac:dyDescent="0.2">
      <c r="A89" s="11"/>
    </row>
    <row r="90" spans="1:1" ht="16" x14ac:dyDescent="0.2">
      <c r="A90" s="11"/>
    </row>
    <row r="91" spans="1:1" ht="16" x14ac:dyDescent="0.2">
      <c r="A91" s="11"/>
    </row>
    <row r="92" spans="1:1" ht="16" x14ac:dyDescent="0.2">
      <c r="A92" s="11"/>
    </row>
    <row r="93" spans="1:1" ht="16" x14ac:dyDescent="0.2">
      <c r="A93" s="11"/>
    </row>
    <row r="94" spans="1:1" ht="16" x14ac:dyDescent="0.2">
      <c r="A94" s="11"/>
    </row>
    <row r="95" spans="1:1" ht="16" x14ac:dyDescent="0.2">
      <c r="A95" s="11"/>
    </row>
    <row r="96" spans="1:1" ht="16" x14ac:dyDescent="0.2">
      <c r="A96" s="11"/>
    </row>
    <row r="97" spans="1:1" ht="16" x14ac:dyDescent="0.2">
      <c r="A97" s="11"/>
    </row>
    <row r="98" spans="1:1" ht="16" x14ac:dyDescent="0.2">
      <c r="A98" s="11"/>
    </row>
    <row r="99" spans="1:1" ht="16" x14ac:dyDescent="0.2">
      <c r="A99" s="11"/>
    </row>
    <row r="100" spans="1:1" ht="16" x14ac:dyDescent="0.2">
      <c r="A100" s="11"/>
    </row>
    <row r="101" spans="1:1" ht="16" x14ac:dyDescent="0.2">
      <c r="A101" s="11"/>
    </row>
    <row r="102" spans="1:1" ht="16" x14ac:dyDescent="0.2">
      <c r="A102" s="11"/>
    </row>
    <row r="103" spans="1:1" ht="16" x14ac:dyDescent="0.2">
      <c r="A103" s="11"/>
    </row>
    <row r="104" spans="1:1" ht="16" x14ac:dyDescent="0.2">
      <c r="A104" s="11"/>
    </row>
    <row r="105" spans="1:1" ht="16" x14ac:dyDescent="0.2">
      <c r="A105" s="11"/>
    </row>
    <row r="106" spans="1:1" ht="16" x14ac:dyDescent="0.2">
      <c r="A106" s="11"/>
    </row>
    <row r="107" spans="1:1" ht="16" x14ac:dyDescent="0.2">
      <c r="A107" s="11"/>
    </row>
    <row r="108" spans="1:1" ht="16" x14ac:dyDescent="0.2">
      <c r="A108" s="11"/>
    </row>
    <row r="109" spans="1:1" ht="16" x14ac:dyDescent="0.2">
      <c r="A109" s="11"/>
    </row>
    <row r="110" spans="1:1" ht="16" x14ac:dyDescent="0.2">
      <c r="A110" s="11"/>
    </row>
    <row r="111" spans="1:1" ht="16" x14ac:dyDescent="0.2">
      <c r="A111" s="11"/>
    </row>
    <row r="112" spans="1:1" ht="16" x14ac:dyDescent="0.2">
      <c r="A112" s="11"/>
    </row>
    <row r="113" spans="1:1" ht="16" x14ac:dyDescent="0.2">
      <c r="A113" s="11"/>
    </row>
    <row r="114" spans="1:1" ht="16" x14ac:dyDescent="0.2">
      <c r="A114" s="11"/>
    </row>
    <row r="115" spans="1:1" ht="16" x14ac:dyDescent="0.2">
      <c r="A115" s="11"/>
    </row>
    <row r="116" spans="1:1" ht="16" x14ac:dyDescent="0.2">
      <c r="A116" s="11"/>
    </row>
    <row r="117" spans="1:1" ht="16" x14ac:dyDescent="0.2">
      <c r="A117" s="11"/>
    </row>
    <row r="118" spans="1:1" ht="16" x14ac:dyDescent="0.2">
      <c r="A118" s="11"/>
    </row>
    <row r="119" spans="1:1" ht="16" x14ac:dyDescent="0.2">
      <c r="A119" s="11"/>
    </row>
    <row r="120" spans="1:1" ht="16" x14ac:dyDescent="0.2">
      <c r="A120" s="11"/>
    </row>
    <row r="121" spans="1:1" ht="16" x14ac:dyDescent="0.2">
      <c r="A121" s="11"/>
    </row>
    <row r="122" spans="1:1" ht="16" x14ac:dyDescent="0.2">
      <c r="A122" s="11"/>
    </row>
    <row r="123" spans="1:1" ht="16" x14ac:dyDescent="0.2">
      <c r="A123" s="11"/>
    </row>
    <row r="124" spans="1:1" ht="16" x14ac:dyDescent="0.2">
      <c r="A124" s="11"/>
    </row>
    <row r="125" spans="1:1" ht="16" x14ac:dyDescent="0.2">
      <c r="A125" s="11"/>
    </row>
    <row r="126" spans="1:1" ht="16" x14ac:dyDescent="0.2">
      <c r="A126" s="11"/>
    </row>
    <row r="127" spans="1:1" ht="16" x14ac:dyDescent="0.2">
      <c r="A127" s="11"/>
    </row>
    <row r="128" spans="1:1" ht="16" x14ac:dyDescent="0.2">
      <c r="A128" s="11"/>
    </row>
    <row r="129" spans="1:1" ht="16" x14ac:dyDescent="0.2">
      <c r="A129" s="11"/>
    </row>
    <row r="130" spans="1:1" ht="16" x14ac:dyDescent="0.2">
      <c r="A130" s="11"/>
    </row>
    <row r="131" spans="1:1" ht="16" x14ac:dyDescent="0.2">
      <c r="A131" s="11"/>
    </row>
    <row r="132" spans="1:1" ht="16" x14ac:dyDescent="0.2">
      <c r="A132" s="11"/>
    </row>
    <row r="133" spans="1:1" ht="16" x14ac:dyDescent="0.2">
      <c r="A133" s="11"/>
    </row>
    <row r="134" spans="1:1" ht="16" x14ac:dyDescent="0.2">
      <c r="A134" s="11"/>
    </row>
    <row r="135" spans="1:1" ht="16" x14ac:dyDescent="0.2">
      <c r="A135" s="11"/>
    </row>
    <row r="136" spans="1:1" ht="16" x14ac:dyDescent="0.2">
      <c r="A136" s="11"/>
    </row>
    <row r="137" spans="1:1" ht="16" x14ac:dyDescent="0.2">
      <c r="A137" s="11"/>
    </row>
    <row r="138" spans="1:1" ht="16" x14ac:dyDescent="0.2">
      <c r="A138" s="11"/>
    </row>
    <row r="139" spans="1:1" ht="16" x14ac:dyDescent="0.2">
      <c r="A139" s="11"/>
    </row>
    <row r="140" spans="1:1" ht="16" x14ac:dyDescent="0.2">
      <c r="A140" s="11"/>
    </row>
    <row r="141" spans="1:1" ht="16" x14ac:dyDescent="0.2">
      <c r="A141" s="11"/>
    </row>
    <row r="142" spans="1:1" ht="16" x14ac:dyDescent="0.2">
      <c r="A142" s="11"/>
    </row>
    <row r="143" spans="1:1" ht="16" x14ac:dyDescent="0.2">
      <c r="A143" s="11"/>
    </row>
    <row r="144" spans="1:1" ht="16" x14ac:dyDescent="0.2">
      <c r="A144" s="11"/>
    </row>
    <row r="145" spans="1:1" ht="16" x14ac:dyDescent="0.2">
      <c r="A145" s="11"/>
    </row>
    <row r="146" spans="1:1" ht="16" x14ac:dyDescent="0.2">
      <c r="A146" s="11"/>
    </row>
    <row r="147" spans="1:1" ht="16" x14ac:dyDescent="0.2">
      <c r="A147" s="11"/>
    </row>
    <row r="148" spans="1:1" ht="16" x14ac:dyDescent="0.2">
      <c r="A148" s="11"/>
    </row>
    <row r="149" spans="1:1" ht="16" x14ac:dyDescent="0.2">
      <c r="A149" s="11"/>
    </row>
    <row r="150" spans="1:1" ht="16" x14ac:dyDescent="0.2">
      <c r="A150" s="11"/>
    </row>
    <row r="151" spans="1:1" ht="16" x14ac:dyDescent="0.2">
      <c r="A151" s="11"/>
    </row>
    <row r="152" spans="1:1" ht="16" x14ac:dyDescent="0.2">
      <c r="A152" s="11"/>
    </row>
    <row r="153" spans="1:1" ht="16" x14ac:dyDescent="0.2">
      <c r="A153" s="11"/>
    </row>
    <row r="154" spans="1:1" ht="16" x14ac:dyDescent="0.2">
      <c r="A154" s="11"/>
    </row>
    <row r="155" spans="1:1" ht="16" x14ac:dyDescent="0.2">
      <c r="A155" s="11"/>
    </row>
    <row r="156" spans="1:1" ht="16" x14ac:dyDescent="0.2">
      <c r="A156" s="11"/>
    </row>
    <row r="157" spans="1:1" ht="16" x14ac:dyDescent="0.2">
      <c r="A157" s="11"/>
    </row>
    <row r="158" spans="1:1" ht="16" x14ac:dyDescent="0.2">
      <c r="A158" s="11"/>
    </row>
    <row r="159" spans="1:1" ht="16" x14ac:dyDescent="0.2">
      <c r="A159" s="11"/>
    </row>
    <row r="160" spans="1:1" ht="16" x14ac:dyDescent="0.2">
      <c r="A160" s="11"/>
    </row>
    <row r="161" spans="1:1" ht="16" x14ac:dyDescent="0.2">
      <c r="A161" s="11"/>
    </row>
    <row r="162" spans="1:1" ht="16" x14ac:dyDescent="0.2">
      <c r="A162" s="11"/>
    </row>
    <row r="163" spans="1:1" ht="16" x14ac:dyDescent="0.2">
      <c r="A163" s="11"/>
    </row>
    <row r="164" spans="1:1" ht="16" x14ac:dyDescent="0.2">
      <c r="A164" s="11"/>
    </row>
    <row r="165" spans="1:1" ht="16" x14ac:dyDescent="0.2">
      <c r="A165" s="11"/>
    </row>
    <row r="166" spans="1:1" ht="16" x14ac:dyDescent="0.2">
      <c r="A166" s="11"/>
    </row>
    <row r="167" spans="1:1" ht="16" x14ac:dyDescent="0.2">
      <c r="A167" s="11"/>
    </row>
    <row r="168" spans="1:1" ht="16" x14ac:dyDescent="0.2">
      <c r="A168" s="11"/>
    </row>
    <row r="169" spans="1:1" ht="16" x14ac:dyDescent="0.2">
      <c r="A169" s="11"/>
    </row>
    <row r="170" spans="1:1" ht="16" x14ac:dyDescent="0.2">
      <c r="A170" s="11"/>
    </row>
    <row r="171" spans="1:1" ht="16" x14ac:dyDescent="0.2">
      <c r="A171" s="11"/>
    </row>
    <row r="172" spans="1:1" ht="16" x14ac:dyDescent="0.2">
      <c r="A172" s="11"/>
    </row>
    <row r="173" spans="1:1" ht="16" x14ac:dyDescent="0.2">
      <c r="A173" s="11"/>
    </row>
    <row r="174" spans="1:1" ht="16" x14ac:dyDescent="0.2">
      <c r="A174" s="11"/>
    </row>
    <row r="175" spans="1:1" ht="16" x14ac:dyDescent="0.2">
      <c r="A175" s="11"/>
    </row>
    <row r="176" spans="1:1" ht="16" x14ac:dyDescent="0.2">
      <c r="A176" s="11"/>
    </row>
    <row r="177" spans="1:1" ht="16" x14ac:dyDescent="0.2">
      <c r="A177" s="11"/>
    </row>
    <row r="178" spans="1:1" ht="16" x14ac:dyDescent="0.2">
      <c r="A178" s="11"/>
    </row>
    <row r="179" spans="1:1" ht="16" x14ac:dyDescent="0.2">
      <c r="A179" s="11"/>
    </row>
    <row r="180" spans="1:1" ht="16" x14ac:dyDescent="0.2">
      <c r="A180" s="11"/>
    </row>
    <row r="181" spans="1:1" ht="16" x14ac:dyDescent="0.2">
      <c r="A181" s="11"/>
    </row>
    <row r="182" spans="1:1" ht="16" x14ac:dyDescent="0.2">
      <c r="A182" s="11"/>
    </row>
    <row r="183" spans="1:1" ht="16" x14ac:dyDescent="0.2">
      <c r="A183" s="11"/>
    </row>
    <row r="184" spans="1:1" ht="16" x14ac:dyDescent="0.2">
      <c r="A184" s="11"/>
    </row>
    <row r="185" spans="1:1" ht="16" x14ac:dyDescent="0.2">
      <c r="A185" s="11"/>
    </row>
    <row r="186" spans="1:1" ht="16" x14ac:dyDescent="0.2">
      <c r="A186" s="11"/>
    </row>
    <row r="187" spans="1:1" ht="16" x14ac:dyDescent="0.2">
      <c r="A187" s="11"/>
    </row>
    <row r="188" spans="1:1" ht="16" x14ac:dyDescent="0.2">
      <c r="A188" s="11"/>
    </row>
    <row r="189" spans="1:1" ht="16" x14ac:dyDescent="0.2">
      <c r="A189" s="11"/>
    </row>
    <row r="190" spans="1:1" ht="16" x14ac:dyDescent="0.2">
      <c r="A190" s="11"/>
    </row>
    <row r="191" spans="1:1" ht="16" x14ac:dyDescent="0.2">
      <c r="A191" s="11"/>
    </row>
    <row r="192" spans="1:1" ht="16" x14ac:dyDescent="0.2">
      <c r="A192" s="11"/>
    </row>
    <row r="193" spans="1:1" ht="16" x14ac:dyDescent="0.2">
      <c r="A193" s="11"/>
    </row>
    <row r="194" spans="1:1" ht="16" x14ac:dyDescent="0.2">
      <c r="A194" s="11"/>
    </row>
    <row r="195" spans="1:1" ht="16" x14ac:dyDescent="0.2">
      <c r="A195" s="11"/>
    </row>
    <row r="196" spans="1:1" ht="16" x14ac:dyDescent="0.2">
      <c r="A196" s="11"/>
    </row>
    <row r="197" spans="1:1" ht="16" x14ac:dyDescent="0.2">
      <c r="A197" s="11"/>
    </row>
    <row r="198" spans="1:1" ht="16" x14ac:dyDescent="0.2">
      <c r="A198" s="11"/>
    </row>
    <row r="199" spans="1:1" ht="16" x14ac:dyDescent="0.2">
      <c r="A199" s="11"/>
    </row>
    <row r="200" spans="1:1" ht="16" x14ac:dyDescent="0.2">
      <c r="A200" s="11"/>
    </row>
    <row r="201" spans="1:1" ht="16" x14ac:dyDescent="0.2">
      <c r="A201" s="11"/>
    </row>
    <row r="202" spans="1:1" ht="16" x14ac:dyDescent="0.2">
      <c r="A202" s="11"/>
    </row>
    <row r="203" spans="1:1" ht="16" x14ac:dyDescent="0.2">
      <c r="A203" s="11"/>
    </row>
    <row r="204" spans="1:1" ht="16" x14ac:dyDescent="0.2">
      <c r="A204" s="11"/>
    </row>
    <row r="205" spans="1:1" ht="16" x14ac:dyDescent="0.2">
      <c r="A205" s="11"/>
    </row>
    <row r="206" spans="1:1" ht="16" x14ac:dyDescent="0.2">
      <c r="A206" s="11"/>
    </row>
    <row r="207" spans="1:1" ht="16" x14ac:dyDescent="0.2">
      <c r="A207" s="11"/>
    </row>
    <row r="208" spans="1:1" ht="16" x14ac:dyDescent="0.2">
      <c r="A208" s="11"/>
    </row>
    <row r="209" spans="1:1" ht="16" x14ac:dyDescent="0.2">
      <c r="A209" s="11"/>
    </row>
    <row r="210" spans="1:1" ht="16" x14ac:dyDescent="0.2">
      <c r="A210" s="11"/>
    </row>
    <row r="211" spans="1:1" ht="16" x14ac:dyDescent="0.2">
      <c r="A211" s="11"/>
    </row>
    <row r="212" spans="1:1" ht="16" x14ac:dyDescent="0.2">
      <c r="A212" s="11"/>
    </row>
    <row r="213" spans="1:1" ht="16" x14ac:dyDescent="0.2">
      <c r="A213" s="11"/>
    </row>
    <row r="214" spans="1:1" ht="16" x14ac:dyDescent="0.2">
      <c r="A214" s="11"/>
    </row>
    <row r="215" spans="1:1" ht="16" x14ac:dyDescent="0.2">
      <c r="A215" s="11"/>
    </row>
    <row r="216" spans="1:1" ht="16" x14ac:dyDescent="0.2">
      <c r="A216" s="11"/>
    </row>
    <row r="217" spans="1:1" ht="16" x14ac:dyDescent="0.2">
      <c r="A217" s="11"/>
    </row>
    <row r="218" spans="1:1" ht="16" x14ac:dyDescent="0.2">
      <c r="A218" s="11"/>
    </row>
    <row r="219" spans="1:1" ht="16" x14ac:dyDescent="0.2">
      <c r="A219" s="11"/>
    </row>
    <row r="220" spans="1:1" ht="16" x14ac:dyDescent="0.2">
      <c r="A220" s="11"/>
    </row>
    <row r="221" spans="1:1" ht="16" x14ac:dyDescent="0.2">
      <c r="A221" s="11"/>
    </row>
    <row r="222" spans="1:1" ht="16" x14ac:dyDescent="0.2">
      <c r="A222" s="11"/>
    </row>
    <row r="223" spans="1:1" ht="16" x14ac:dyDescent="0.2">
      <c r="A223" s="11"/>
    </row>
    <row r="224" spans="1:1" ht="16" x14ac:dyDescent="0.2">
      <c r="A224" s="11"/>
    </row>
    <row r="225" spans="1:1" ht="16" x14ac:dyDescent="0.2">
      <c r="A225" s="11"/>
    </row>
    <row r="226" spans="1:1" ht="16" x14ac:dyDescent="0.2">
      <c r="A226" s="11"/>
    </row>
    <row r="227" spans="1:1" ht="16" x14ac:dyDescent="0.2">
      <c r="A227" s="11"/>
    </row>
    <row r="228" spans="1:1" ht="16" x14ac:dyDescent="0.2">
      <c r="A228" s="11"/>
    </row>
    <row r="229" spans="1:1" ht="16" x14ac:dyDescent="0.2">
      <c r="A229" s="11"/>
    </row>
    <row r="230" spans="1:1" ht="16" x14ac:dyDescent="0.2">
      <c r="A230" s="11"/>
    </row>
    <row r="231" spans="1:1" ht="16" x14ac:dyDescent="0.2">
      <c r="A231" s="11"/>
    </row>
    <row r="232" spans="1:1" ht="16" x14ac:dyDescent="0.2">
      <c r="A232" s="11"/>
    </row>
    <row r="233" spans="1:1" ht="16" x14ac:dyDescent="0.2">
      <c r="A233" s="11"/>
    </row>
    <row r="234" spans="1:1" ht="16" x14ac:dyDescent="0.2">
      <c r="A234" s="11"/>
    </row>
    <row r="235" spans="1:1" ht="16" x14ac:dyDescent="0.2">
      <c r="A235" s="11"/>
    </row>
    <row r="236" spans="1:1" ht="16" x14ac:dyDescent="0.2">
      <c r="A236" s="11"/>
    </row>
    <row r="237" spans="1:1" ht="16" x14ac:dyDescent="0.2">
      <c r="A237" s="11"/>
    </row>
    <row r="238" spans="1:1" ht="16" x14ac:dyDescent="0.2">
      <c r="A238" s="11"/>
    </row>
    <row r="239" spans="1:1" ht="16" x14ac:dyDescent="0.2">
      <c r="A239" s="11"/>
    </row>
    <row r="240" spans="1:1" ht="16" x14ac:dyDescent="0.2">
      <c r="A240" s="11"/>
    </row>
    <row r="241" spans="1:1" ht="16" x14ac:dyDescent="0.2">
      <c r="A241" s="11"/>
    </row>
    <row r="242" spans="1:1" ht="16" x14ac:dyDescent="0.2">
      <c r="A242" s="11"/>
    </row>
    <row r="243" spans="1:1" ht="16" x14ac:dyDescent="0.2">
      <c r="A243" s="11"/>
    </row>
    <row r="244" spans="1:1" ht="16" x14ac:dyDescent="0.2">
      <c r="A244" s="11"/>
    </row>
    <row r="245" spans="1:1" ht="16" x14ac:dyDescent="0.2">
      <c r="A245" s="11"/>
    </row>
    <row r="246" spans="1:1" ht="16" x14ac:dyDescent="0.2">
      <c r="A246" s="11"/>
    </row>
    <row r="247" spans="1:1" ht="16" x14ac:dyDescent="0.2">
      <c r="A247" s="11"/>
    </row>
    <row r="248" spans="1:1" ht="16" x14ac:dyDescent="0.2">
      <c r="A248" s="11"/>
    </row>
    <row r="249" spans="1:1" ht="16" x14ac:dyDescent="0.2">
      <c r="A249" s="11"/>
    </row>
    <row r="250" spans="1:1" ht="16" x14ac:dyDescent="0.2">
      <c r="A250" s="11"/>
    </row>
    <row r="251" spans="1:1" ht="16" x14ac:dyDescent="0.2">
      <c r="A251" s="11"/>
    </row>
    <row r="252" spans="1:1" ht="16" x14ac:dyDescent="0.2">
      <c r="A252" s="11"/>
    </row>
    <row r="253" spans="1:1" ht="16" x14ac:dyDescent="0.2">
      <c r="A253" s="11"/>
    </row>
    <row r="254" spans="1:1" ht="16" x14ac:dyDescent="0.2">
      <c r="A254" s="11"/>
    </row>
    <row r="255" spans="1:1" ht="16" x14ac:dyDescent="0.2">
      <c r="A255" s="11"/>
    </row>
    <row r="256" spans="1:1" ht="16" x14ac:dyDescent="0.2">
      <c r="A256" s="11"/>
    </row>
    <row r="257" spans="1:1" ht="16" x14ac:dyDescent="0.2">
      <c r="A257" s="11"/>
    </row>
    <row r="258" spans="1:1" ht="16" x14ac:dyDescent="0.2">
      <c r="A258" s="11"/>
    </row>
    <row r="259" spans="1:1" ht="16" x14ac:dyDescent="0.2">
      <c r="A259" s="11"/>
    </row>
    <row r="260" spans="1:1" ht="16" x14ac:dyDescent="0.2">
      <c r="A260" s="11"/>
    </row>
    <row r="261" spans="1:1" ht="16" x14ac:dyDescent="0.2">
      <c r="A261" s="11"/>
    </row>
    <row r="262" spans="1:1" ht="16" x14ac:dyDescent="0.2">
      <c r="A262" s="11"/>
    </row>
    <row r="263" spans="1:1" ht="16" x14ac:dyDescent="0.2">
      <c r="A263" s="11"/>
    </row>
    <row r="264" spans="1:1" ht="16" x14ac:dyDescent="0.2">
      <c r="A264" s="11"/>
    </row>
    <row r="265" spans="1:1" ht="16" x14ac:dyDescent="0.2">
      <c r="A265" s="11"/>
    </row>
    <row r="266" spans="1:1" ht="16" x14ac:dyDescent="0.2">
      <c r="A266" s="11"/>
    </row>
    <row r="267" spans="1:1" ht="16" x14ac:dyDescent="0.2">
      <c r="A267" s="11"/>
    </row>
    <row r="268" spans="1:1" ht="16" x14ac:dyDescent="0.2">
      <c r="A268" s="11"/>
    </row>
    <row r="269" spans="1:1" ht="16" x14ac:dyDescent="0.2">
      <c r="A269" s="11"/>
    </row>
    <row r="270" spans="1:1" ht="16" x14ac:dyDescent="0.2">
      <c r="A270" s="11"/>
    </row>
    <row r="271" spans="1:1" ht="16" x14ac:dyDescent="0.2">
      <c r="A271" s="11"/>
    </row>
    <row r="272" spans="1:1" ht="16" x14ac:dyDescent="0.2">
      <c r="A272" s="11"/>
    </row>
    <row r="273" spans="1:1" ht="16" x14ac:dyDescent="0.2">
      <c r="A273" s="11"/>
    </row>
    <row r="274" spans="1:1" ht="16" x14ac:dyDescent="0.2">
      <c r="A274" s="11"/>
    </row>
    <row r="275" spans="1:1" ht="16" x14ac:dyDescent="0.2">
      <c r="A275" s="11"/>
    </row>
    <row r="276" spans="1:1" ht="16" x14ac:dyDescent="0.2">
      <c r="A276" s="11"/>
    </row>
    <row r="277" spans="1:1" ht="16" x14ac:dyDescent="0.2">
      <c r="A277" s="11"/>
    </row>
    <row r="278" spans="1:1" ht="16" x14ac:dyDescent="0.2">
      <c r="A278" s="11"/>
    </row>
    <row r="279" spans="1:1" ht="16" x14ac:dyDescent="0.2">
      <c r="A279" s="11"/>
    </row>
    <row r="280" spans="1:1" ht="16" x14ac:dyDescent="0.2">
      <c r="A280" s="11"/>
    </row>
    <row r="281" spans="1:1" ht="16" x14ac:dyDescent="0.2">
      <c r="A281" s="11"/>
    </row>
    <row r="282" spans="1:1" ht="16" x14ac:dyDescent="0.2">
      <c r="A282" s="11"/>
    </row>
    <row r="283" spans="1:1" ht="16" x14ac:dyDescent="0.2">
      <c r="A283" s="11"/>
    </row>
    <row r="284" spans="1:1" ht="16" x14ac:dyDescent="0.2">
      <c r="A284" s="11"/>
    </row>
    <row r="285" spans="1:1" ht="16" x14ac:dyDescent="0.2">
      <c r="A285" s="11"/>
    </row>
    <row r="286" spans="1:1" ht="16" x14ac:dyDescent="0.2">
      <c r="A286" s="11"/>
    </row>
    <row r="287" spans="1:1" ht="16" x14ac:dyDescent="0.2">
      <c r="A287" s="11"/>
    </row>
    <row r="288" spans="1:1" ht="16" x14ac:dyDescent="0.2">
      <c r="A288" s="11"/>
    </row>
    <row r="289" spans="1:1" ht="16" x14ac:dyDescent="0.2">
      <c r="A289" s="11"/>
    </row>
    <row r="290" spans="1:1" ht="16" x14ac:dyDescent="0.2">
      <c r="A290" s="11"/>
    </row>
    <row r="291" spans="1:1" ht="16" x14ac:dyDescent="0.2">
      <c r="A291" s="11"/>
    </row>
    <row r="292" spans="1:1" ht="16" x14ac:dyDescent="0.2">
      <c r="A292" s="11"/>
    </row>
    <row r="293" spans="1:1" ht="16" x14ac:dyDescent="0.2">
      <c r="A293" s="11"/>
    </row>
    <row r="294" spans="1:1" ht="16" x14ac:dyDescent="0.2">
      <c r="A294" s="11"/>
    </row>
    <row r="295" spans="1:1" ht="16" x14ac:dyDescent="0.2">
      <c r="A295" s="11"/>
    </row>
    <row r="296" spans="1:1" ht="16" x14ac:dyDescent="0.2">
      <c r="A296" s="11"/>
    </row>
    <row r="297" spans="1:1" ht="16" x14ac:dyDescent="0.2">
      <c r="A297" s="11"/>
    </row>
    <row r="298" spans="1:1" ht="16" x14ac:dyDescent="0.2">
      <c r="A298" s="11"/>
    </row>
    <row r="299" spans="1:1" ht="16" x14ac:dyDescent="0.2">
      <c r="A299" s="11"/>
    </row>
    <row r="300" spans="1:1" ht="16" x14ac:dyDescent="0.2">
      <c r="A300" s="11"/>
    </row>
    <row r="301" spans="1:1" ht="16" x14ac:dyDescent="0.2">
      <c r="A301" s="11"/>
    </row>
    <row r="302" spans="1:1" ht="16" x14ac:dyDescent="0.2">
      <c r="A302" s="11"/>
    </row>
    <row r="303" spans="1:1" ht="16" x14ac:dyDescent="0.2">
      <c r="A303" s="11"/>
    </row>
    <row r="304" spans="1:1" ht="16" x14ac:dyDescent="0.2">
      <c r="A304" s="11"/>
    </row>
    <row r="305" spans="1:1" ht="16" x14ac:dyDescent="0.2">
      <c r="A305" s="11"/>
    </row>
    <row r="306" spans="1:1" ht="16" x14ac:dyDescent="0.2">
      <c r="A306" s="11"/>
    </row>
    <row r="307" spans="1:1" ht="16" x14ac:dyDescent="0.2">
      <c r="A307" s="11"/>
    </row>
    <row r="308" spans="1:1" ht="16" x14ac:dyDescent="0.2">
      <c r="A308" s="11"/>
    </row>
    <row r="309" spans="1:1" ht="16" x14ac:dyDescent="0.2">
      <c r="A309" s="11"/>
    </row>
    <row r="310" spans="1:1" ht="16" x14ac:dyDescent="0.2">
      <c r="A310" s="11"/>
    </row>
    <row r="311" spans="1:1" ht="16" x14ac:dyDescent="0.2">
      <c r="A311" s="11"/>
    </row>
    <row r="312" spans="1:1" ht="16" x14ac:dyDescent="0.2">
      <c r="A312" s="11"/>
    </row>
    <row r="313" spans="1:1" ht="16" x14ac:dyDescent="0.2">
      <c r="A313" s="11"/>
    </row>
    <row r="314" spans="1:1" ht="16" x14ac:dyDescent="0.2">
      <c r="A314" s="11"/>
    </row>
    <row r="315" spans="1:1" ht="16" x14ac:dyDescent="0.2">
      <c r="A315" s="11"/>
    </row>
    <row r="316" spans="1:1" ht="16" x14ac:dyDescent="0.2">
      <c r="A316" s="11"/>
    </row>
    <row r="317" spans="1:1" ht="16" x14ac:dyDescent="0.2">
      <c r="A317" s="11"/>
    </row>
    <row r="318" spans="1:1" ht="16" x14ac:dyDescent="0.2">
      <c r="A318" s="11"/>
    </row>
    <row r="319" spans="1:1" ht="16" x14ac:dyDescent="0.2">
      <c r="A319" s="11"/>
    </row>
    <row r="320" spans="1:1" ht="16" x14ac:dyDescent="0.2">
      <c r="A320" s="11"/>
    </row>
    <row r="321" spans="1:1" ht="16" x14ac:dyDescent="0.2">
      <c r="A321" s="11"/>
    </row>
    <row r="322" spans="1:1" ht="16" x14ac:dyDescent="0.2">
      <c r="A322" s="11"/>
    </row>
    <row r="323" spans="1:1" ht="16" x14ac:dyDescent="0.2">
      <c r="A323" s="11"/>
    </row>
    <row r="324" spans="1:1" ht="16" x14ac:dyDescent="0.2">
      <c r="A324" s="11"/>
    </row>
    <row r="325" spans="1:1" ht="16" x14ac:dyDescent="0.2">
      <c r="A325" s="11"/>
    </row>
    <row r="326" spans="1:1" ht="16" x14ac:dyDescent="0.2">
      <c r="A326" s="11"/>
    </row>
    <row r="327" spans="1:1" ht="16" x14ac:dyDescent="0.2">
      <c r="A327" s="11"/>
    </row>
    <row r="328" spans="1:1" ht="16" x14ac:dyDescent="0.2">
      <c r="A328" s="11"/>
    </row>
    <row r="329" spans="1:1" ht="16" x14ac:dyDescent="0.2">
      <c r="A329" s="11"/>
    </row>
    <row r="330" spans="1:1" ht="16" x14ac:dyDescent="0.2">
      <c r="A330" s="11"/>
    </row>
    <row r="331" spans="1:1" ht="16" x14ac:dyDescent="0.2">
      <c r="A331" s="11"/>
    </row>
    <row r="332" spans="1:1" ht="16" x14ac:dyDescent="0.2">
      <c r="A332" s="11"/>
    </row>
    <row r="333" spans="1:1" ht="16" x14ac:dyDescent="0.2">
      <c r="A333" s="11"/>
    </row>
    <row r="334" spans="1:1" ht="16" x14ac:dyDescent="0.2">
      <c r="A334" s="11"/>
    </row>
    <row r="335" spans="1:1" ht="16" x14ac:dyDescent="0.2">
      <c r="A335" s="11"/>
    </row>
    <row r="336" spans="1:1" ht="16" x14ac:dyDescent="0.2">
      <c r="A336" s="11"/>
    </row>
    <row r="337" spans="1:1" ht="16" x14ac:dyDescent="0.2">
      <c r="A337" s="11"/>
    </row>
    <row r="338" spans="1:1" ht="16" x14ac:dyDescent="0.2">
      <c r="A338" s="11"/>
    </row>
    <row r="339" spans="1:1" ht="16" x14ac:dyDescent="0.2">
      <c r="A339" s="11"/>
    </row>
    <row r="340" spans="1:1" ht="16" x14ac:dyDescent="0.2">
      <c r="A340" s="11"/>
    </row>
    <row r="341" spans="1:1" ht="16" x14ac:dyDescent="0.2">
      <c r="A341" s="11"/>
    </row>
    <row r="342" spans="1:1" ht="16" x14ac:dyDescent="0.2">
      <c r="A342" s="11"/>
    </row>
    <row r="343" spans="1:1" ht="16" x14ac:dyDescent="0.2">
      <c r="A343" s="11"/>
    </row>
    <row r="344" spans="1:1" ht="16" x14ac:dyDescent="0.2">
      <c r="A344" s="11"/>
    </row>
    <row r="345" spans="1:1" ht="16" x14ac:dyDescent="0.2">
      <c r="A345" s="11"/>
    </row>
    <row r="346" spans="1:1" ht="16" x14ac:dyDescent="0.2">
      <c r="A346" s="11"/>
    </row>
    <row r="347" spans="1:1" ht="16" x14ac:dyDescent="0.2">
      <c r="A347" s="11"/>
    </row>
    <row r="348" spans="1:1" ht="16" x14ac:dyDescent="0.2">
      <c r="A348" s="11"/>
    </row>
    <row r="349" spans="1:1" ht="16" x14ac:dyDescent="0.2">
      <c r="A349" s="11"/>
    </row>
    <row r="350" spans="1:1" ht="16" x14ac:dyDescent="0.2">
      <c r="A350" s="11"/>
    </row>
    <row r="351" spans="1:1" ht="16" x14ac:dyDescent="0.2">
      <c r="A351" s="11"/>
    </row>
    <row r="352" spans="1:1" ht="16" x14ac:dyDescent="0.2">
      <c r="A352" s="11"/>
    </row>
    <row r="353" spans="1:1" ht="16" x14ac:dyDescent="0.2">
      <c r="A353" s="11"/>
    </row>
    <row r="354" spans="1:1" ht="16" x14ac:dyDescent="0.2">
      <c r="A354" s="11"/>
    </row>
    <row r="355" spans="1:1" ht="16" x14ac:dyDescent="0.2">
      <c r="A355" s="11"/>
    </row>
    <row r="356" spans="1:1" ht="16" x14ac:dyDescent="0.2">
      <c r="A356" s="11"/>
    </row>
    <row r="357" spans="1:1" ht="16" x14ac:dyDescent="0.2">
      <c r="A357" s="11"/>
    </row>
    <row r="358" spans="1:1" ht="16" x14ac:dyDescent="0.2">
      <c r="A358" s="11"/>
    </row>
    <row r="359" spans="1:1" ht="16" x14ac:dyDescent="0.2">
      <c r="A359" s="11"/>
    </row>
    <row r="360" spans="1:1" ht="16" x14ac:dyDescent="0.2">
      <c r="A360" s="11"/>
    </row>
    <row r="361" spans="1:1" ht="16" x14ac:dyDescent="0.2">
      <c r="A361" s="11"/>
    </row>
    <row r="362" spans="1:1" ht="16" x14ac:dyDescent="0.2">
      <c r="A362" s="11"/>
    </row>
    <row r="363" spans="1:1" ht="16" x14ac:dyDescent="0.2">
      <c r="A363" s="11"/>
    </row>
    <row r="364" spans="1:1" ht="16" x14ac:dyDescent="0.2">
      <c r="A364" s="11"/>
    </row>
    <row r="365" spans="1:1" ht="16" x14ac:dyDescent="0.2">
      <c r="A365" s="11"/>
    </row>
    <row r="366" spans="1:1" ht="16" x14ac:dyDescent="0.2">
      <c r="A366" s="11"/>
    </row>
    <row r="367" spans="1:1" ht="16" x14ac:dyDescent="0.2">
      <c r="A367" s="11"/>
    </row>
    <row r="368" spans="1:1" ht="16" x14ac:dyDescent="0.2">
      <c r="A368" s="11"/>
    </row>
    <row r="369" spans="1:1" ht="16" x14ac:dyDescent="0.2">
      <c r="A369" s="11"/>
    </row>
    <row r="370" spans="1:1" ht="16" x14ac:dyDescent="0.2">
      <c r="A370" s="11"/>
    </row>
    <row r="371" spans="1:1" ht="16" x14ac:dyDescent="0.2">
      <c r="A371" s="11"/>
    </row>
    <row r="372" spans="1:1" ht="16" x14ac:dyDescent="0.2">
      <c r="A372" s="11"/>
    </row>
    <row r="373" spans="1:1" ht="16" x14ac:dyDescent="0.2">
      <c r="A373" s="11"/>
    </row>
    <row r="374" spans="1:1" ht="16" x14ac:dyDescent="0.2">
      <c r="A374" s="11"/>
    </row>
    <row r="375" spans="1:1" ht="16" x14ac:dyDescent="0.2">
      <c r="A375" s="11"/>
    </row>
    <row r="376" spans="1:1" ht="16" x14ac:dyDescent="0.2">
      <c r="A376" s="11"/>
    </row>
    <row r="377" spans="1:1" ht="16" x14ac:dyDescent="0.2">
      <c r="A377" s="11"/>
    </row>
    <row r="378" spans="1:1" ht="16" x14ac:dyDescent="0.2">
      <c r="A378" s="11"/>
    </row>
    <row r="379" spans="1:1" ht="16" x14ac:dyDescent="0.2">
      <c r="A379" s="11"/>
    </row>
    <row r="380" spans="1:1" ht="16" x14ac:dyDescent="0.2">
      <c r="A380" s="11"/>
    </row>
    <row r="381" spans="1:1" ht="16" x14ac:dyDescent="0.2">
      <c r="A381" s="11"/>
    </row>
    <row r="382" spans="1:1" ht="16" x14ac:dyDescent="0.2">
      <c r="A382" s="11"/>
    </row>
    <row r="383" spans="1:1" ht="16" x14ac:dyDescent="0.2">
      <c r="A383" s="11"/>
    </row>
    <row r="384" spans="1:1" ht="16" x14ac:dyDescent="0.2">
      <c r="A384" s="11"/>
    </row>
    <row r="385" spans="1:1" ht="16" x14ac:dyDescent="0.2">
      <c r="A385" s="11"/>
    </row>
    <row r="386" spans="1:1" ht="16" x14ac:dyDescent="0.2">
      <c r="A386" s="11"/>
    </row>
    <row r="387" spans="1:1" ht="16" x14ac:dyDescent="0.2">
      <c r="A387" s="11"/>
    </row>
    <row r="388" spans="1:1" ht="16" x14ac:dyDescent="0.2">
      <c r="A388" s="11"/>
    </row>
    <row r="389" spans="1:1" ht="16" x14ac:dyDescent="0.2">
      <c r="A389" s="11"/>
    </row>
    <row r="390" spans="1:1" ht="16" x14ac:dyDescent="0.2">
      <c r="A390" s="11"/>
    </row>
    <row r="391" spans="1:1" ht="16" x14ac:dyDescent="0.2">
      <c r="A391" s="11"/>
    </row>
    <row r="392" spans="1:1" ht="16" x14ac:dyDescent="0.2">
      <c r="A392" s="11"/>
    </row>
    <row r="393" spans="1:1" ht="16" x14ac:dyDescent="0.2">
      <c r="A393" s="11"/>
    </row>
    <row r="394" spans="1:1" ht="16" x14ac:dyDescent="0.2">
      <c r="A394" s="11"/>
    </row>
    <row r="395" spans="1:1" ht="16" x14ac:dyDescent="0.2">
      <c r="A395" s="11"/>
    </row>
    <row r="396" spans="1:1" ht="16" x14ac:dyDescent="0.2">
      <c r="A396" s="11"/>
    </row>
    <row r="397" spans="1:1" ht="16" x14ac:dyDescent="0.2">
      <c r="A397" s="11"/>
    </row>
    <row r="398" spans="1:1" ht="16" x14ac:dyDescent="0.2">
      <c r="A398" s="11"/>
    </row>
    <row r="399" spans="1:1" ht="16" x14ac:dyDescent="0.2">
      <c r="A399" s="11"/>
    </row>
    <row r="400" spans="1:1" ht="16" x14ac:dyDescent="0.2">
      <c r="A400" s="11"/>
    </row>
    <row r="401" spans="1:1" ht="16" x14ac:dyDescent="0.2">
      <c r="A401" s="11"/>
    </row>
    <row r="402" spans="1:1" ht="16" x14ac:dyDescent="0.2">
      <c r="A402" s="11"/>
    </row>
    <row r="403" spans="1:1" ht="16" x14ac:dyDescent="0.2">
      <c r="A403" s="11"/>
    </row>
    <row r="404" spans="1:1" ht="16" x14ac:dyDescent="0.2">
      <c r="A404" s="11"/>
    </row>
    <row r="405" spans="1:1" ht="16" x14ac:dyDescent="0.2">
      <c r="A405" s="11"/>
    </row>
    <row r="406" spans="1:1" ht="16" x14ac:dyDescent="0.2">
      <c r="A406" s="11"/>
    </row>
    <row r="407" spans="1:1" ht="16" x14ac:dyDescent="0.2">
      <c r="A407" s="11"/>
    </row>
    <row r="408" spans="1:1" ht="16" x14ac:dyDescent="0.2">
      <c r="A408" s="11"/>
    </row>
    <row r="409" spans="1:1" ht="16" x14ac:dyDescent="0.2">
      <c r="A409" s="11"/>
    </row>
    <row r="410" spans="1:1" ht="16" x14ac:dyDescent="0.2">
      <c r="A410" s="11"/>
    </row>
    <row r="411" spans="1:1" ht="16" x14ac:dyDescent="0.2">
      <c r="A411" s="11"/>
    </row>
    <row r="412" spans="1:1" ht="16" x14ac:dyDescent="0.2">
      <c r="A412" s="11"/>
    </row>
    <row r="413" spans="1:1" ht="16" x14ac:dyDescent="0.2">
      <c r="A413" s="11"/>
    </row>
    <row r="414" spans="1:1" ht="16" x14ac:dyDescent="0.2">
      <c r="A414" s="11"/>
    </row>
    <row r="415" spans="1:1" ht="16" x14ac:dyDescent="0.2">
      <c r="A415" s="11"/>
    </row>
    <row r="416" spans="1:1" ht="16" x14ac:dyDescent="0.2">
      <c r="A416" s="11"/>
    </row>
    <row r="417" spans="1:1" ht="16" x14ac:dyDescent="0.2">
      <c r="A417" s="11"/>
    </row>
    <row r="418" spans="1:1" ht="16" x14ac:dyDescent="0.2">
      <c r="A418" s="11"/>
    </row>
    <row r="419" spans="1:1" ht="16" x14ac:dyDescent="0.2">
      <c r="A419" s="11"/>
    </row>
    <row r="420" spans="1:1" ht="16" x14ac:dyDescent="0.2">
      <c r="A420" s="11"/>
    </row>
    <row r="421" spans="1:1" ht="16" x14ac:dyDescent="0.2">
      <c r="A421" s="11"/>
    </row>
    <row r="422" spans="1:1" ht="16" x14ac:dyDescent="0.2">
      <c r="A422" s="11"/>
    </row>
    <row r="423" spans="1:1" ht="16" x14ac:dyDescent="0.2">
      <c r="A423" s="11"/>
    </row>
    <row r="424" spans="1:1" ht="16" x14ac:dyDescent="0.2">
      <c r="A424" s="11"/>
    </row>
    <row r="425" spans="1:1" ht="16" x14ac:dyDescent="0.2">
      <c r="A425" s="11"/>
    </row>
    <row r="426" spans="1:1" ht="16" x14ac:dyDescent="0.2">
      <c r="A426" s="11"/>
    </row>
    <row r="427" spans="1:1" ht="16" x14ac:dyDescent="0.2">
      <c r="A427" s="11"/>
    </row>
    <row r="428" spans="1:1" ht="16" x14ac:dyDescent="0.2">
      <c r="A428" s="11"/>
    </row>
    <row r="429" spans="1:1" ht="16" x14ac:dyDescent="0.2">
      <c r="A429" s="11"/>
    </row>
    <row r="430" spans="1:1" ht="16" x14ac:dyDescent="0.2">
      <c r="A430" s="11"/>
    </row>
    <row r="431" spans="1:1" ht="16" x14ac:dyDescent="0.2">
      <c r="A431" s="11"/>
    </row>
    <row r="432" spans="1:1" ht="16" x14ac:dyDescent="0.2">
      <c r="A432" s="11"/>
    </row>
    <row r="433" spans="1:1" ht="16" x14ac:dyDescent="0.2">
      <c r="A433" s="11"/>
    </row>
    <row r="434" spans="1:1" ht="16" x14ac:dyDescent="0.2">
      <c r="A434" s="11"/>
    </row>
    <row r="435" spans="1:1" ht="16" x14ac:dyDescent="0.2">
      <c r="A435" s="11"/>
    </row>
    <row r="436" spans="1:1" ht="16" x14ac:dyDescent="0.2">
      <c r="A436" s="11"/>
    </row>
    <row r="437" spans="1:1" ht="16" x14ac:dyDescent="0.2">
      <c r="A437" s="11"/>
    </row>
    <row r="438" spans="1:1" ht="16" x14ac:dyDescent="0.2">
      <c r="A438" s="11"/>
    </row>
    <row r="439" spans="1:1" ht="16" x14ac:dyDescent="0.2">
      <c r="A439" s="11"/>
    </row>
    <row r="440" spans="1:1" ht="16" x14ac:dyDescent="0.2">
      <c r="A440" s="11"/>
    </row>
    <row r="441" spans="1:1" ht="16" x14ac:dyDescent="0.2">
      <c r="A441" s="11"/>
    </row>
    <row r="442" spans="1:1" ht="16" x14ac:dyDescent="0.2">
      <c r="A442" s="11"/>
    </row>
    <row r="443" spans="1:1" ht="16" x14ac:dyDescent="0.2">
      <c r="A443" s="11"/>
    </row>
    <row r="444" spans="1:1" ht="16" x14ac:dyDescent="0.2">
      <c r="A444" s="11"/>
    </row>
    <row r="445" spans="1:1" ht="16" x14ac:dyDescent="0.2">
      <c r="A445" s="11"/>
    </row>
    <row r="446" spans="1:1" ht="16" x14ac:dyDescent="0.2">
      <c r="A446" s="11"/>
    </row>
    <row r="447" spans="1:1" ht="16" x14ac:dyDescent="0.2">
      <c r="A447" s="11"/>
    </row>
    <row r="448" spans="1:1" ht="16" x14ac:dyDescent="0.2">
      <c r="A448" s="11"/>
    </row>
    <row r="449" spans="1:1" ht="16" x14ac:dyDescent="0.2">
      <c r="A449" s="11"/>
    </row>
    <row r="450" spans="1:1" ht="16" x14ac:dyDescent="0.2">
      <c r="A450" s="11"/>
    </row>
    <row r="451" spans="1:1" ht="16" x14ac:dyDescent="0.2">
      <c r="A451" s="11"/>
    </row>
    <row r="452" spans="1:1" ht="16" x14ac:dyDescent="0.2">
      <c r="A452" s="11"/>
    </row>
    <row r="453" spans="1:1" ht="16" x14ac:dyDescent="0.2">
      <c r="A453" s="11"/>
    </row>
    <row r="454" spans="1:1" ht="16" x14ac:dyDescent="0.2">
      <c r="A454" s="11"/>
    </row>
    <row r="455" spans="1:1" ht="16" x14ac:dyDescent="0.2">
      <c r="A455" s="11"/>
    </row>
    <row r="456" spans="1:1" ht="16" x14ac:dyDescent="0.2">
      <c r="A456" s="11"/>
    </row>
    <row r="457" spans="1:1" ht="16" x14ac:dyDescent="0.2">
      <c r="A457" s="11"/>
    </row>
    <row r="458" spans="1:1" ht="16" x14ac:dyDescent="0.2">
      <c r="A458" s="11"/>
    </row>
    <row r="459" spans="1:1" ht="16" x14ac:dyDescent="0.2">
      <c r="A459" s="11"/>
    </row>
    <row r="460" spans="1:1" ht="16" x14ac:dyDescent="0.2">
      <c r="A460" s="11"/>
    </row>
    <row r="461" spans="1:1" ht="16" x14ac:dyDescent="0.2">
      <c r="A461" s="11"/>
    </row>
    <row r="462" spans="1:1" ht="16" x14ac:dyDescent="0.2">
      <c r="A462" s="11"/>
    </row>
    <row r="463" spans="1:1" ht="16" x14ac:dyDescent="0.2">
      <c r="A463" s="11"/>
    </row>
    <row r="464" spans="1:1" ht="16" x14ac:dyDescent="0.2">
      <c r="A464" s="11"/>
    </row>
    <row r="465" spans="1:1" ht="16" x14ac:dyDescent="0.2">
      <c r="A465" s="11"/>
    </row>
    <row r="466" spans="1:1" ht="16" x14ac:dyDescent="0.2">
      <c r="A466" s="11"/>
    </row>
    <row r="467" spans="1:1" ht="16" x14ac:dyDescent="0.2">
      <c r="A467" s="11"/>
    </row>
    <row r="468" spans="1:1" ht="16" x14ac:dyDescent="0.2">
      <c r="A468" s="11"/>
    </row>
    <row r="469" spans="1:1" ht="16" x14ac:dyDescent="0.2">
      <c r="A469" s="11"/>
    </row>
    <row r="470" spans="1:1" ht="16" x14ac:dyDescent="0.2">
      <c r="A470" s="11"/>
    </row>
    <row r="471" spans="1:1" ht="16" x14ac:dyDescent="0.2">
      <c r="A471" s="11"/>
    </row>
    <row r="472" spans="1:1" ht="16" x14ac:dyDescent="0.2">
      <c r="A472" s="11"/>
    </row>
    <row r="473" spans="1:1" ht="16" x14ac:dyDescent="0.2">
      <c r="A473" s="11"/>
    </row>
    <row r="474" spans="1:1" ht="16" x14ac:dyDescent="0.2">
      <c r="A474" s="11"/>
    </row>
    <row r="475" spans="1:1" ht="16" x14ac:dyDescent="0.2">
      <c r="A475" s="11"/>
    </row>
    <row r="476" spans="1:1" ht="16" x14ac:dyDescent="0.2">
      <c r="A476" s="11"/>
    </row>
    <row r="477" spans="1:1" ht="16" x14ac:dyDescent="0.2">
      <c r="A477" s="11"/>
    </row>
    <row r="478" spans="1:1" ht="16" x14ac:dyDescent="0.2">
      <c r="A478" s="11"/>
    </row>
    <row r="479" spans="1:1" ht="16" x14ac:dyDescent="0.2">
      <c r="A479" s="11"/>
    </row>
    <row r="480" spans="1:1" ht="16" x14ac:dyDescent="0.2">
      <c r="A480" s="11"/>
    </row>
    <row r="481" spans="1:1" ht="16" x14ac:dyDescent="0.2">
      <c r="A481" s="11"/>
    </row>
    <row r="482" spans="1:1" ht="16" x14ac:dyDescent="0.2">
      <c r="A482" s="11"/>
    </row>
    <row r="483" spans="1:1" ht="16" x14ac:dyDescent="0.2">
      <c r="A483" s="11"/>
    </row>
    <row r="484" spans="1:1" ht="16" x14ac:dyDescent="0.2">
      <c r="A484" s="11"/>
    </row>
    <row r="485" spans="1:1" ht="16" x14ac:dyDescent="0.2">
      <c r="A485" s="11"/>
    </row>
    <row r="486" spans="1:1" ht="16" x14ac:dyDescent="0.2">
      <c r="A486" s="11"/>
    </row>
    <row r="487" spans="1:1" ht="16" x14ac:dyDescent="0.2">
      <c r="A487" s="11"/>
    </row>
    <row r="488" spans="1:1" ht="16" x14ac:dyDescent="0.2">
      <c r="A488" s="11"/>
    </row>
    <row r="489" spans="1:1" ht="16" x14ac:dyDescent="0.2">
      <c r="A489" s="11"/>
    </row>
    <row r="490" spans="1:1" ht="16" x14ac:dyDescent="0.2">
      <c r="A490" s="11"/>
    </row>
    <row r="491" spans="1:1" ht="16" x14ac:dyDescent="0.2">
      <c r="A491" s="11"/>
    </row>
    <row r="492" spans="1:1" ht="16" x14ac:dyDescent="0.2">
      <c r="A492" s="11"/>
    </row>
    <row r="493" spans="1:1" ht="16" x14ac:dyDescent="0.2">
      <c r="A493" s="11"/>
    </row>
    <row r="494" spans="1:1" ht="16" x14ac:dyDescent="0.2">
      <c r="A494" s="11"/>
    </row>
    <row r="495" spans="1:1" ht="16" x14ac:dyDescent="0.2">
      <c r="A495" s="11"/>
    </row>
    <row r="496" spans="1:1" ht="16" x14ac:dyDescent="0.2">
      <c r="A496" s="11"/>
    </row>
    <row r="497" spans="1:1" ht="16" x14ac:dyDescent="0.2">
      <c r="A497" s="11"/>
    </row>
    <row r="498" spans="1:1" ht="16" x14ac:dyDescent="0.2">
      <c r="A498" s="11"/>
    </row>
    <row r="499" spans="1:1" ht="16" x14ac:dyDescent="0.2">
      <c r="A499" s="11"/>
    </row>
    <row r="500" spans="1:1" ht="16" x14ac:dyDescent="0.2">
      <c r="A500" s="11"/>
    </row>
    <row r="501" spans="1:1" ht="16" x14ac:dyDescent="0.2">
      <c r="A501" s="11"/>
    </row>
    <row r="502" spans="1:1" ht="16" x14ac:dyDescent="0.2">
      <c r="A502" s="11"/>
    </row>
    <row r="503" spans="1:1" ht="16" x14ac:dyDescent="0.2">
      <c r="A503" s="11"/>
    </row>
    <row r="504" spans="1:1" ht="16" x14ac:dyDescent="0.2">
      <c r="A504" s="11"/>
    </row>
    <row r="505" spans="1:1" ht="16" x14ac:dyDescent="0.2">
      <c r="A505" s="11"/>
    </row>
    <row r="506" spans="1:1" ht="16" x14ac:dyDescent="0.2">
      <c r="A506" s="11"/>
    </row>
    <row r="507" spans="1:1" ht="16" x14ac:dyDescent="0.2">
      <c r="A507" s="11"/>
    </row>
    <row r="508" spans="1:1" ht="16" x14ac:dyDescent="0.2">
      <c r="A508" s="11"/>
    </row>
    <row r="509" spans="1:1" ht="16" x14ac:dyDescent="0.2">
      <c r="A509" s="11"/>
    </row>
    <row r="510" spans="1:1" ht="16" x14ac:dyDescent="0.2">
      <c r="A510" s="11"/>
    </row>
    <row r="511" spans="1:1" ht="16" x14ac:dyDescent="0.2">
      <c r="A511" s="11"/>
    </row>
    <row r="512" spans="1:1" ht="16" x14ac:dyDescent="0.2">
      <c r="A512" s="11"/>
    </row>
    <row r="513" spans="1:1" ht="16" x14ac:dyDescent="0.2">
      <c r="A513" s="11"/>
    </row>
    <row r="514" spans="1:1" ht="16" x14ac:dyDescent="0.2">
      <c r="A514" s="11"/>
    </row>
    <row r="515" spans="1:1" ht="16" x14ac:dyDescent="0.2">
      <c r="A515" s="11"/>
    </row>
    <row r="516" spans="1:1" ht="16" x14ac:dyDescent="0.2">
      <c r="A516" s="11"/>
    </row>
    <row r="517" spans="1:1" ht="16" x14ac:dyDescent="0.2">
      <c r="A517" s="11"/>
    </row>
    <row r="518" spans="1:1" ht="16" x14ac:dyDescent="0.2">
      <c r="A518" s="11"/>
    </row>
    <row r="519" spans="1:1" ht="16" x14ac:dyDescent="0.2">
      <c r="A519" s="11"/>
    </row>
    <row r="520" spans="1:1" ht="16" x14ac:dyDescent="0.2">
      <c r="A520" s="11"/>
    </row>
    <row r="521" spans="1:1" ht="16" x14ac:dyDescent="0.2">
      <c r="A521" s="11"/>
    </row>
    <row r="522" spans="1:1" ht="16" x14ac:dyDescent="0.2">
      <c r="A522" s="11"/>
    </row>
    <row r="523" spans="1:1" ht="16" x14ac:dyDescent="0.2">
      <c r="A523" s="11"/>
    </row>
    <row r="524" spans="1:1" ht="16" x14ac:dyDescent="0.2">
      <c r="A524" s="11"/>
    </row>
    <row r="525" spans="1:1" ht="16" x14ac:dyDescent="0.2">
      <c r="A525" s="11"/>
    </row>
    <row r="526" spans="1:1" ht="16" x14ac:dyDescent="0.2">
      <c r="A526" s="11"/>
    </row>
    <row r="527" spans="1:1" ht="16" x14ac:dyDescent="0.2">
      <c r="A527" s="11"/>
    </row>
    <row r="528" spans="1:1" ht="16" x14ac:dyDescent="0.2">
      <c r="A528" s="11"/>
    </row>
    <row r="529" spans="1:1" ht="16" x14ac:dyDescent="0.2">
      <c r="A529" s="11"/>
    </row>
    <row r="530" spans="1:1" ht="16" x14ac:dyDescent="0.2">
      <c r="A530" s="11"/>
    </row>
    <row r="531" spans="1:1" ht="16" x14ac:dyDescent="0.2">
      <c r="A531" s="11"/>
    </row>
    <row r="532" spans="1:1" ht="16" x14ac:dyDescent="0.2">
      <c r="A532" s="11"/>
    </row>
    <row r="533" spans="1:1" ht="16" x14ac:dyDescent="0.2">
      <c r="A533" s="11"/>
    </row>
    <row r="534" spans="1:1" ht="16" x14ac:dyDescent="0.2">
      <c r="A534" s="11"/>
    </row>
    <row r="535" spans="1:1" ht="16" x14ac:dyDescent="0.2">
      <c r="A535" s="11"/>
    </row>
    <row r="536" spans="1:1" ht="16" x14ac:dyDescent="0.2">
      <c r="A536" s="11"/>
    </row>
    <row r="537" spans="1:1" ht="16" x14ac:dyDescent="0.2">
      <c r="A537" s="11"/>
    </row>
    <row r="538" spans="1:1" ht="16" x14ac:dyDescent="0.2">
      <c r="A538" s="11"/>
    </row>
    <row r="539" spans="1:1" ht="16" x14ac:dyDescent="0.2">
      <c r="A539" s="11"/>
    </row>
    <row r="540" spans="1:1" ht="16" x14ac:dyDescent="0.2">
      <c r="A540" s="11"/>
    </row>
    <row r="541" spans="1:1" ht="16" x14ac:dyDescent="0.2">
      <c r="A541" s="11"/>
    </row>
    <row r="542" spans="1:1" ht="16" x14ac:dyDescent="0.2">
      <c r="A542" s="11"/>
    </row>
    <row r="543" spans="1:1" ht="16" x14ac:dyDescent="0.2">
      <c r="A543" s="11"/>
    </row>
    <row r="544" spans="1:1" ht="16" x14ac:dyDescent="0.2">
      <c r="A544" s="11"/>
    </row>
    <row r="545" spans="1:1" ht="16" x14ac:dyDescent="0.2">
      <c r="A545" s="11"/>
    </row>
    <row r="546" spans="1:1" ht="16" x14ac:dyDescent="0.2">
      <c r="A546" s="11"/>
    </row>
    <row r="547" spans="1:1" ht="16" x14ac:dyDescent="0.2">
      <c r="A547" s="11"/>
    </row>
    <row r="548" spans="1:1" ht="16" x14ac:dyDescent="0.2">
      <c r="A548" s="11"/>
    </row>
    <row r="549" spans="1:1" ht="16" x14ac:dyDescent="0.2">
      <c r="A549" s="11"/>
    </row>
    <row r="550" spans="1:1" ht="16" x14ac:dyDescent="0.2">
      <c r="A550" s="11"/>
    </row>
    <row r="551" spans="1:1" ht="16" x14ac:dyDescent="0.2">
      <c r="A551" s="11"/>
    </row>
    <row r="552" spans="1:1" ht="16" x14ac:dyDescent="0.2">
      <c r="A552" s="11"/>
    </row>
    <row r="553" spans="1:1" ht="16" x14ac:dyDescent="0.2">
      <c r="A553" s="11"/>
    </row>
    <row r="554" spans="1:1" ht="16" x14ac:dyDescent="0.2">
      <c r="A554" s="11"/>
    </row>
    <row r="555" spans="1:1" ht="16" x14ac:dyDescent="0.2">
      <c r="A555" s="11"/>
    </row>
    <row r="556" spans="1:1" ht="16" x14ac:dyDescent="0.2">
      <c r="A556" s="11"/>
    </row>
    <row r="557" spans="1:1" ht="16" x14ac:dyDescent="0.2">
      <c r="A557" s="11"/>
    </row>
    <row r="558" spans="1:1" ht="16" x14ac:dyDescent="0.2">
      <c r="A558" s="11"/>
    </row>
    <row r="559" spans="1:1" ht="16" x14ac:dyDescent="0.2">
      <c r="A559" s="11"/>
    </row>
    <row r="560" spans="1:1" ht="16" x14ac:dyDescent="0.2">
      <c r="A560" s="11"/>
    </row>
    <row r="561" spans="1:1" ht="16" x14ac:dyDescent="0.2">
      <c r="A561" s="11"/>
    </row>
    <row r="562" spans="1:1" ht="16" x14ac:dyDescent="0.2">
      <c r="A562" s="11"/>
    </row>
    <row r="563" spans="1:1" ht="16" x14ac:dyDescent="0.2">
      <c r="A563" s="11"/>
    </row>
    <row r="564" spans="1:1" ht="16" x14ac:dyDescent="0.2">
      <c r="A564" s="11"/>
    </row>
    <row r="565" spans="1:1" ht="16" x14ac:dyDescent="0.2">
      <c r="A565" s="11"/>
    </row>
    <row r="566" spans="1:1" ht="16" x14ac:dyDescent="0.2">
      <c r="A566" s="11"/>
    </row>
    <row r="567" spans="1:1" ht="16" x14ac:dyDescent="0.2">
      <c r="A567" s="11"/>
    </row>
    <row r="568" spans="1:1" ht="16" x14ac:dyDescent="0.2">
      <c r="A568" s="11"/>
    </row>
    <row r="569" spans="1:1" ht="16" x14ac:dyDescent="0.2">
      <c r="A569" s="11"/>
    </row>
    <row r="570" spans="1:1" ht="16" x14ac:dyDescent="0.2">
      <c r="A570" s="11"/>
    </row>
    <row r="571" spans="1:1" ht="16" x14ac:dyDescent="0.2">
      <c r="A571" s="11"/>
    </row>
    <row r="572" spans="1:1" ht="16" x14ac:dyDescent="0.2">
      <c r="A572" s="11"/>
    </row>
    <row r="573" spans="1:1" ht="16" x14ac:dyDescent="0.2">
      <c r="A573" s="11"/>
    </row>
    <row r="574" spans="1:1" ht="16" x14ac:dyDescent="0.2">
      <c r="A574" s="11"/>
    </row>
    <row r="575" spans="1:1" ht="16" x14ac:dyDescent="0.2">
      <c r="A575" s="11"/>
    </row>
    <row r="576" spans="1:1" ht="16" x14ac:dyDescent="0.2">
      <c r="A576" s="11"/>
    </row>
    <row r="577" spans="1:1" ht="16" x14ac:dyDescent="0.2">
      <c r="A577" s="11"/>
    </row>
    <row r="578" spans="1:1" ht="16" x14ac:dyDescent="0.2">
      <c r="A578" s="11"/>
    </row>
    <row r="579" spans="1:1" ht="16" x14ac:dyDescent="0.2">
      <c r="A579" s="11"/>
    </row>
    <row r="580" spans="1:1" ht="16" x14ac:dyDescent="0.2">
      <c r="A580" s="11"/>
    </row>
    <row r="581" spans="1:1" ht="16" x14ac:dyDescent="0.2">
      <c r="A581" s="11"/>
    </row>
    <row r="582" spans="1:1" ht="16" x14ac:dyDescent="0.2">
      <c r="A582" s="11"/>
    </row>
    <row r="583" spans="1:1" ht="16" x14ac:dyDescent="0.2">
      <c r="A583" s="11"/>
    </row>
    <row r="584" spans="1:1" ht="16" x14ac:dyDescent="0.2">
      <c r="A584" s="11"/>
    </row>
    <row r="585" spans="1:1" ht="16" x14ac:dyDescent="0.2">
      <c r="A585" s="11"/>
    </row>
    <row r="586" spans="1:1" ht="16" x14ac:dyDescent="0.2">
      <c r="A586" s="11"/>
    </row>
    <row r="587" spans="1:1" ht="16" x14ac:dyDescent="0.2">
      <c r="A587" s="11"/>
    </row>
    <row r="588" spans="1:1" ht="16" x14ac:dyDescent="0.2">
      <c r="A588" s="11"/>
    </row>
    <row r="589" spans="1:1" ht="16" x14ac:dyDescent="0.2">
      <c r="A589" s="11"/>
    </row>
    <row r="590" spans="1:1" ht="16" x14ac:dyDescent="0.2">
      <c r="A590" s="11"/>
    </row>
    <row r="591" spans="1:1" ht="16" x14ac:dyDescent="0.2">
      <c r="A591" s="11"/>
    </row>
    <row r="592" spans="1:1" ht="16" x14ac:dyDescent="0.2">
      <c r="A592" s="11"/>
    </row>
    <row r="593" spans="1:1" ht="16" x14ac:dyDescent="0.2">
      <c r="A593" s="11"/>
    </row>
    <row r="594" spans="1:1" ht="16" x14ac:dyDescent="0.2">
      <c r="A594" s="11"/>
    </row>
    <row r="595" spans="1:1" ht="16" x14ac:dyDescent="0.2">
      <c r="A595" s="11"/>
    </row>
    <row r="596" spans="1:1" ht="16" x14ac:dyDescent="0.2">
      <c r="A596" s="11"/>
    </row>
    <row r="597" spans="1:1" ht="16" x14ac:dyDescent="0.2">
      <c r="A597" s="11"/>
    </row>
    <row r="598" spans="1:1" ht="16" x14ac:dyDescent="0.2">
      <c r="A598" s="11"/>
    </row>
    <row r="599" spans="1:1" ht="16" x14ac:dyDescent="0.2">
      <c r="A599" s="11"/>
    </row>
    <row r="600" spans="1:1" ht="16" x14ac:dyDescent="0.2">
      <c r="A600" s="11"/>
    </row>
    <row r="601" spans="1:1" ht="16" x14ac:dyDescent="0.2">
      <c r="A601" s="11"/>
    </row>
    <row r="602" spans="1:1" ht="16" x14ac:dyDescent="0.2">
      <c r="A602" s="11"/>
    </row>
    <row r="603" spans="1:1" ht="16" x14ac:dyDescent="0.2">
      <c r="A603" s="11"/>
    </row>
    <row r="604" spans="1:1" ht="16" x14ac:dyDescent="0.2">
      <c r="A604" s="11"/>
    </row>
    <row r="605" spans="1:1" ht="16" x14ac:dyDescent="0.2">
      <c r="A605" s="11"/>
    </row>
    <row r="606" spans="1:1" ht="16" x14ac:dyDescent="0.2">
      <c r="A606" s="11"/>
    </row>
    <row r="607" spans="1:1" ht="16" x14ac:dyDescent="0.2">
      <c r="A607" s="11"/>
    </row>
    <row r="608" spans="1:1" ht="16" x14ac:dyDescent="0.2">
      <c r="A608" s="11"/>
    </row>
    <row r="609" spans="1:1" ht="16" x14ac:dyDescent="0.2">
      <c r="A609" s="11"/>
    </row>
    <row r="610" spans="1:1" ht="16" x14ac:dyDescent="0.2">
      <c r="A610" s="11"/>
    </row>
    <row r="611" spans="1:1" ht="16" x14ac:dyDescent="0.2">
      <c r="A611" s="11"/>
    </row>
    <row r="612" spans="1:1" ht="16" x14ac:dyDescent="0.2">
      <c r="A612" s="11"/>
    </row>
    <row r="613" spans="1:1" ht="16" x14ac:dyDescent="0.2">
      <c r="A613" s="11"/>
    </row>
    <row r="614" spans="1:1" ht="16" x14ac:dyDescent="0.2">
      <c r="A614" s="11"/>
    </row>
    <row r="615" spans="1:1" ht="16" x14ac:dyDescent="0.2">
      <c r="A615" s="11"/>
    </row>
    <row r="616" spans="1:1" ht="16" x14ac:dyDescent="0.2">
      <c r="A616" s="11"/>
    </row>
    <row r="617" spans="1:1" ht="16" x14ac:dyDescent="0.2">
      <c r="A617" s="11"/>
    </row>
    <row r="618" spans="1:1" ht="16" x14ac:dyDescent="0.2">
      <c r="A618" s="11"/>
    </row>
    <row r="619" spans="1:1" ht="16" x14ac:dyDescent="0.2">
      <c r="A619" s="11"/>
    </row>
    <row r="620" spans="1:1" ht="16" x14ac:dyDescent="0.2">
      <c r="A620" s="11"/>
    </row>
    <row r="621" spans="1:1" ht="16" x14ac:dyDescent="0.2">
      <c r="A621" s="11"/>
    </row>
    <row r="622" spans="1:1" ht="16" x14ac:dyDescent="0.2">
      <c r="A622" s="11"/>
    </row>
    <row r="623" spans="1:1" ht="16" x14ac:dyDescent="0.2">
      <c r="A623" s="11"/>
    </row>
    <row r="624" spans="1:1" ht="16" x14ac:dyDescent="0.2">
      <c r="A624" s="11"/>
    </row>
    <row r="625" spans="1:1" ht="16" x14ac:dyDescent="0.2">
      <c r="A625" s="11"/>
    </row>
    <row r="626" spans="1:1" ht="16" x14ac:dyDescent="0.2">
      <c r="A626" s="11"/>
    </row>
    <row r="627" spans="1:1" ht="16" x14ac:dyDescent="0.2">
      <c r="A627" s="11"/>
    </row>
    <row r="628" spans="1:1" ht="16" x14ac:dyDescent="0.2">
      <c r="A628" s="11"/>
    </row>
    <row r="629" spans="1:1" ht="16" x14ac:dyDescent="0.2">
      <c r="A629" s="11"/>
    </row>
    <row r="630" spans="1:1" ht="16" x14ac:dyDescent="0.2">
      <c r="A630" s="11"/>
    </row>
    <row r="631" spans="1:1" ht="16" x14ac:dyDescent="0.2">
      <c r="A631" s="11"/>
    </row>
    <row r="632" spans="1:1" ht="16" x14ac:dyDescent="0.2">
      <c r="A632" s="11"/>
    </row>
    <row r="633" spans="1:1" ht="16" x14ac:dyDescent="0.2">
      <c r="A633" s="11"/>
    </row>
    <row r="634" spans="1:1" ht="16" x14ac:dyDescent="0.2">
      <c r="A634" s="11"/>
    </row>
    <row r="635" spans="1:1" ht="16" x14ac:dyDescent="0.2">
      <c r="A635" s="11"/>
    </row>
    <row r="636" spans="1:1" ht="16" x14ac:dyDescent="0.2">
      <c r="A636" s="11"/>
    </row>
    <row r="637" spans="1:1" ht="16" x14ac:dyDescent="0.2">
      <c r="A637" s="11"/>
    </row>
    <row r="638" spans="1:1" ht="16" x14ac:dyDescent="0.2">
      <c r="A638" s="11"/>
    </row>
    <row r="639" spans="1:1" ht="16" x14ac:dyDescent="0.2">
      <c r="A639" s="11"/>
    </row>
    <row r="640" spans="1:1" ht="16" x14ac:dyDescent="0.2">
      <c r="A640" s="11"/>
    </row>
    <row r="641" spans="1:1" ht="16" x14ac:dyDescent="0.2">
      <c r="A641" s="11"/>
    </row>
    <row r="642" spans="1:1" ht="16" x14ac:dyDescent="0.2">
      <c r="A642" s="11"/>
    </row>
    <row r="643" spans="1:1" ht="16" x14ac:dyDescent="0.2">
      <c r="A643" s="11"/>
    </row>
    <row r="644" spans="1:1" ht="16" x14ac:dyDescent="0.2">
      <c r="A644" s="11"/>
    </row>
    <row r="645" spans="1:1" ht="16" x14ac:dyDescent="0.2">
      <c r="A645" s="11"/>
    </row>
    <row r="646" spans="1:1" ht="16" x14ac:dyDescent="0.2">
      <c r="A646" s="11"/>
    </row>
    <row r="647" spans="1:1" ht="16" x14ac:dyDescent="0.2">
      <c r="A647" s="11"/>
    </row>
    <row r="648" spans="1:1" ht="16" x14ac:dyDescent="0.2">
      <c r="A648" s="11"/>
    </row>
    <row r="649" spans="1:1" ht="16" x14ac:dyDescent="0.2">
      <c r="A649" s="11"/>
    </row>
    <row r="650" spans="1:1" ht="16" x14ac:dyDescent="0.2">
      <c r="A650" s="11"/>
    </row>
    <row r="651" spans="1:1" ht="16" x14ac:dyDescent="0.2">
      <c r="A651" s="11"/>
    </row>
    <row r="652" spans="1:1" ht="16" x14ac:dyDescent="0.2">
      <c r="A652" s="11"/>
    </row>
    <row r="653" spans="1:1" ht="16" x14ac:dyDescent="0.2">
      <c r="A653" s="11"/>
    </row>
    <row r="654" spans="1:1" ht="16" x14ac:dyDescent="0.2">
      <c r="A654" s="11"/>
    </row>
    <row r="655" spans="1:1" ht="16" x14ac:dyDescent="0.2">
      <c r="A655" s="11"/>
    </row>
    <row r="656" spans="1:1" ht="16" x14ac:dyDescent="0.2">
      <c r="A656" s="11"/>
    </row>
    <row r="657" spans="1:1" ht="16" x14ac:dyDescent="0.2">
      <c r="A657" s="11"/>
    </row>
    <row r="658" spans="1:1" ht="16" x14ac:dyDescent="0.2">
      <c r="A658" s="11"/>
    </row>
    <row r="659" spans="1:1" ht="16" x14ac:dyDescent="0.2">
      <c r="A659" s="11"/>
    </row>
    <row r="660" spans="1:1" ht="16" x14ac:dyDescent="0.2">
      <c r="A660" s="11"/>
    </row>
    <row r="661" spans="1:1" ht="16" x14ac:dyDescent="0.2">
      <c r="A661" s="11"/>
    </row>
    <row r="662" spans="1:1" ht="16" x14ac:dyDescent="0.2">
      <c r="A662" s="11"/>
    </row>
    <row r="663" spans="1:1" ht="16" x14ac:dyDescent="0.2">
      <c r="A663" s="11"/>
    </row>
    <row r="664" spans="1:1" ht="16" x14ac:dyDescent="0.2">
      <c r="A664" s="11"/>
    </row>
    <row r="665" spans="1:1" ht="16" x14ac:dyDescent="0.2">
      <c r="A665" s="11"/>
    </row>
    <row r="666" spans="1:1" ht="16" x14ac:dyDescent="0.2">
      <c r="A666" s="11"/>
    </row>
    <row r="667" spans="1:1" ht="16" x14ac:dyDescent="0.2">
      <c r="A667" s="11"/>
    </row>
    <row r="668" spans="1:1" ht="16" x14ac:dyDescent="0.2">
      <c r="A668" s="11"/>
    </row>
    <row r="669" spans="1:1" ht="16" x14ac:dyDescent="0.2">
      <c r="A669" s="11"/>
    </row>
    <row r="670" spans="1:1" ht="16" x14ac:dyDescent="0.2">
      <c r="A670" s="11"/>
    </row>
    <row r="671" spans="1:1" ht="16" x14ac:dyDescent="0.2">
      <c r="A671" s="11"/>
    </row>
    <row r="672" spans="1:1" ht="16" x14ac:dyDescent="0.2">
      <c r="A672" s="11"/>
    </row>
    <row r="673" spans="1:1" ht="16" x14ac:dyDescent="0.2">
      <c r="A673" s="11"/>
    </row>
    <row r="674" spans="1:1" ht="16" x14ac:dyDescent="0.2">
      <c r="A674" s="11"/>
    </row>
    <row r="675" spans="1:1" ht="16" x14ac:dyDescent="0.2">
      <c r="A675" s="11"/>
    </row>
    <row r="676" spans="1:1" ht="16" x14ac:dyDescent="0.2">
      <c r="A676" s="11"/>
    </row>
    <row r="677" spans="1:1" ht="16" x14ac:dyDescent="0.2">
      <c r="A677" s="11"/>
    </row>
    <row r="678" spans="1:1" ht="16" x14ac:dyDescent="0.2">
      <c r="A678" s="11"/>
    </row>
    <row r="679" spans="1:1" ht="16" x14ac:dyDescent="0.2">
      <c r="A679" s="11"/>
    </row>
    <row r="680" spans="1:1" ht="16" x14ac:dyDescent="0.2">
      <c r="A680" s="11"/>
    </row>
    <row r="681" spans="1:1" ht="16" x14ac:dyDescent="0.2">
      <c r="A681" s="11"/>
    </row>
    <row r="682" spans="1:1" ht="16" x14ac:dyDescent="0.2">
      <c r="A682" s="11"/>
    </row>
    <row r="683" spans="1:1" ht="16" x14ac:dyDescent="0.2">
      <c r="A683" s="11"/>
    </row>
    <row r="684" spans="1:1" ht="16" x14ac:dyDescent="0.2">
      <c r="A684" s="11"/>
    </row>
    <row r="685" spans="1:1" ht="16" x14ac:dyDescent="0.2">
      <c r="A685" s="11"/>
    </row>
    <row r="686" spans="1:1" ht="16" x14ac:dyDescent="0.2">
      <c r="A686" s="11"/>
    </row>
    <row r="687" spans="1:1" ht="16" x14ac:dyDescent="0.2">
      <c r="A687" s="11"/>
    </row>
    <row r="688" spans="1:1" ht="16" x14ac:dyDescent="0.2">
      <c r="A688" s="11"/>
    </row>
    <row r="689" spans="1:1" ht="16" x14ac:dyDescent="0.2">
      <c r="A689" s="11"/>
    </row>
    <row r="690" spans="1:1" ht="16" x14ac:dyDescent="0.2">
      <c r="A690" s="11"/>
    </row>
    <row r="691" spans="1:1" ht="16" x14ac:dyDescent="0.2">
      <c r="A691" s="11"/>
    </row>
    <row r="692" spans="1:1" ht="16" x14ac:dyDescent="0.2">
      <c r="A692" s="11"/>
    </row>
    <row r="693" spans="1:1" ht="16" x14ac:dyDescent="0.2">
      <c r="A693" s="11"/>
    </row>
    <row r="694" spans="1:1" ht="16" x14ac:dyDescent="0.2">
      <c r="A694" s="11"/>
    </row>
    <row r="695" spans="1:1" ht="16" x14ac:dyDescent="0.2">
      <c r="A695" s="11"/>
    </row>
    <row r="696" spans="1:1" ht="16" x14ac:dyDescent="0.2">
      <c r="A696" s="11"/>
    </row>
    <row r="697" spans="1:1" ht="16" x14ac:dyDescent="0.2">
      <c r="A697" s="11"/>
    </row>
    <row r="698" spans="1:1" ht="16" x14ac:dyDescent="0.2">
      <c r="A698" s="11"/>
    </row>
    <row r="699" spans="1:1" ht="16" x14ac:dyDescent="0.2">
      <c r="A699" s="11"/>
    </row>
    <row r="700" spans="1:1" ht="16" x14ac:dyDescent="0.2">
      <c r="A700" s="11"/>
    </row>
    <row r="701" spans="1:1" ht="16" x14ac:dyDescent="0.2">
      <c r="A701" s="11"/>
    </row>
    <row r="702" spans="1:1" ht="16" x14ac:dyDescent="0.2">
      <c r="A702" s="11"/>
    </row>
    <row r="703" spans="1:1" ht="16" x14ac:dyDescent="0.2">
      <c r="A703" s="11"/>
    </row>
    <row r="704" spans="1:1" ht="16" x14ac:dyDescent="0.2">
      <c r="A704" s="11"/>
    </row>
    <row r="705" spans="1:1" ht="16" x14ac:dyDescent="0.2">
      <c r="A705" s="11"/>
    </row>
    <row r="706" spans="1:1" ht="16" x14ac:dyDescent="0.2">
      <c r="A706" s="11"/>
    </row>
    <row r="707" spans="1:1" ht="16" x14ac:dyDescent="0.2">
      <c r="A707" s="11"/>
    </row>
    <row r="708" spans="1:1" ht="16" x14ac:dyDescent="0.2">
      <c r="A708" s="11"/>
    </row>
    <row r="709" spans="1:1" ht="16" x14ac:dyDescent="0.2">
      <c r="A709" s="11"/>
    </row>
    <row r="710" spans="1:1" ht="16" x14ac:dyDescent="0.2">
      <c r="A710" s="11"/>
    </row>
    <row r="711" spans="1:1" ht="16" x14ac:dyDescent="0.2">
      <c r="A711" s="11"/>
    </row>
    <row r="712" spans="1:1" ht="16" x14ac:dyDescent="0.2">
      <c r="A712" s="11"/>
    </row>
    <row r="713" spans="1:1" ht="16" x14ac:dyDescent="0.2">
      <c r="A713" s="11"/>
    </row>
    <row r="714" spans="1:1" ht="16" x14ac:dyDescent="0.2">
      <c r="A714" s="11"/>
    </row>
    <row r="715" spans="1:1" ht="16" x14ac:dyDescent="0.2">
      <c r="A715" s="11"/>
    </row>
    <row r="716" spans="1:1" ht="16" x14ac:dyDescent="0.2">
      <c r="A716" s="11"/>
    </row>
    <row r="717" spans="1:1" ht="16" x14ac:dyDescent="0.2">
      <c r="A717" s="11"/>
    </row>
    <row r="718" spans="1:1" ht="16" x14ac:dyDescent="0.2">
      <c r="A718" s="11"/>
    </row>
    <row r="719" spans="1:1" ht="16" x14ac:dyDescent="0.2">
      <c r="A719" s="11"/>
    </row>
    <row r="720" spans="1:1" ht="16" x14ac:dyDescent="0.2">
      <c r="A720" s="11"/>
    </row>
    <row r="721" spans="1:1" ht="16" x14ac:dyDescent="0.2">
      <c r="A721" s="11"/>
    </row>
    <row r="722" spans="1:1" ht="16" x14ac:dyDescent="0.2">
      <c r="A722" s="11"/>
    </row>
    <row r="723" spans="1:1" ht="16" x14ac:dyDescent="0.2">
      <c r="A723" s="11"/>
    </row>
    <row r="724" spans="1:1" ht="16" x14ac:dyDescent="0.2">
      <c r="A724" s="11"/>
    </row>
    <row r="725" spans="1:1" ht="16" x14ac:dyDescent="0.2">
      <c r="A725" s="11"/>
    </row>
    <row r="726" spans="1:1" ht="16" x14ac:dyDescent="0.2">
      <c r="A726" s="11"/>
    </row>
    <row r="727" spans="1:1" ht="16" x14ac:dyDescent="0.2">
      <c r="A727" s="11"/>
    </row>
    <row r="728" spans="1:1" ht="16" x14ac:dyDescent="0.2">
      <c r="A728" s="11"/>
    </row>
    <row r="729" spans="1:1" ht="16" x14ac:dyDescent="0.2">
      <c r="A729" s="11"/>
    </row>
    <row r="730" spans="1:1" ht="16" x14ac:dyDescent="0.2">
      <c r="A730" s="11"/>
    </row>
    <row r="731" spans="1:1" ht="16" x14ac:dyDescent="0.2">
      <c r="A731" s="11"/>
    </row>
    <row r="732" spans="1:1" ht="16" x14ac:dyDescent="0.2">
      <c r="A732" s="11"/>
    </row>
    <row r="733" spans="1:1" ht="16" x14ac:dyDescent="0.2">
      <c r="A733" s="11"/>
    </row>
    <row r="734" spans="1:1" ht="16" x14ac:dyDescent="0.2">
      <c r="A734" s="11"/>
    </row>
    <row r="735" spans="1:1" ht="16" x14ac:dyDescent="0.2">
      <c r="A735" s="11"/>
    </row>
    <row r="736" spans="1:1" ht="16" x14ac:dyDescent="0.2">
      <c r="A736" s="11"/>
    </row>
    <row r="737" spans="1:1" ht="16" x14ac:dyDescent="0.2">
      <c r="A737" s="11"/>
    </row>
    <row r="738" spans="1:1" ht="16" x14ac:dyDescent="0.2">
      <c r="A738" s="11"/>
    </row>
    <row r="739" spans="1:1" ht="16" x14ac:dyDescent="0.2">
      <c r="A739" s="11"/>
    </row>
    <row r="740" spans="1:1" ht="16" x14ac:dyDescent="0.2">
      <c r="A740" s="11"/>
    </row>
    <row r="741" spans="1:1" ht="16" x14ac:dyDescent="0.2">
      <c r="A741" s="11"/>
    </row>
    <row r="742" spans="1:1" ht="16" x14ac:dyDescent="0.2">
      <c r="A742" s="11"/>
    </row>
    <row r="743" spans="1:1" ht="16" x14ac:dyDescent="0.2">
      <c r="A743" s="11"/>
    </row>
    <row r="744" spans="1:1" ht="16" x14ac:dyDescent="0.2">
      <c r="A744" s="11"/>
    </row>
    <row r="745" spans="1:1" ht="16" x14ac:dyDescent="0.2">
      <c r="A745" s="11"/>
    </row>
    <row r="746" spans="1:1" ht="16" x14ac:dyDescent="0.2">
      <c r="A746" s="11"/>
    </row>
    <row r="747" spans="1:1" ht="16" x14ac:dyDescent="0.2">
      <c r="A747" s="11"/>
    </row>
    <row r="748" spans="1:1" ht="16" x14ac:dyDescent="0.2">
      <c r="A748" s="11"/>
    </row>
    <row r="749" spans="1:1" ht="16" x14ac:dyDescent="0.2">
      <c r="A749" s="11"/>
    </row>
    <row r="750" spans="1:1" ht="16" x14ac:dyDescent="0.2">
      <c r="A750" s="11"/>
    </row>
    <row r="751" spans="1:1" ht="16" x14ac:dyDescent="0.2">
      <c r="A751" s="11"/>
    </row>
    <row r="752" spans="1:1" ht="16" x14ac:dyDescent="0.2">
      <c r="A752" s="11"/>
    </row>
    <row r="753" spans="1:1" ht="16" x14ac:dyDescent="0.2">
      <c r="A753" s="11"/>
    </row>
    <row r="754" spans="1:1" ht="16" x14ac:dyDescent="0.2">
      <c r="A754" s="11"/>
    </row>
    <row r="755" spans="1:1" ht="16" x14ac:dyDescent="0.2">
      <c r="A755" s="11"/>
    </row>
    <row r="756" spans="1:1" ht="16" x14ac:dyDescent="0.2">
      <c r="A756" s="11"/>
    </row>
    <row r="757" spans="1:1" ht="16" x14ac:dyDescent="0.2">
      <c r="A757" s="11"/>
    </row>
    <row r="758" spans="1:1" ht="16" x14ac:dyDescent="0.2">
      <c r="A758" s="11"/>
    </row>
    <row r="759" spans="1:1" ht="16" x14ac:dyDescent="0.2">
      <c r="A759" s="11"/>
    </row>
    <row r="760" spans="1:1" ht="16" x14ac:dyDescent="0.2">
      <c r="A760" s="11"/>
    </row>
    <row r="761" spans="1:1" ht="16" x14ac:dyDescent="0.2">
      <c r="A761" s="11"/>
    </row>
    <row r="762" spans="1:1" ht="16" x14ac:dyDescent="0.2">
      <c r="A762" s="11"/>
    </row>
    <row r="763" spans="1:1" ht="16" x14ac:dyDescent="0.2">
      <c r="A763" s="11"/>
    </row>
    <row r="764" spans="1:1" ht="16" x14ac:dyDescent="0.2">
      <c r="A764" s="11"/>
    </row>
    <row r="765" spans="1:1" ht="16" x14ac:dyDescent="0.2">
      <c r="A765" s="11"/>
    </row>
    <row r="766" spans="1:1" ht="16" x14ac:dyDescent="0.2">
      <c r="A766" s="11"/>
    </row>
    <row r="767" spans="1:1" ht="16" x14ac:dyDescent="0.2">
      <c r="A767" s="11"/>
    </row>
    <row r="768" spans="1:1" ht="16" x14ac:dyDescent="0.2">
      <c r="A768" s="11"/>
    </row>
    <row r="769" spans="1:1" ht="16" x14ac:dyDescent="0.2">
      <c r="A769" s="11"/>
    </row>
    <row r="770" spans="1:1" ht="16" x14ac:dyDescent="0.2">
      <c r="A770" s="11"/>
    </row>
    <row r="771" spans="1:1" ht="16" x14ac:dyDescent="0.2">
      <c r="A771" s="11"/>
    </row>
    <row r="772" spans="1:1" ht="16" x14ac:dyDescent="0.2">
      <c r="A772" s="11"/>
    </row>
    <row r="773" spans="1:1" ht="16" x14ac:dyDescent="0.2">
      <c r="A773" s="11"/>
    </row>
    <row r="774" spans="1:1" ht="16" x14ac:dyDescent="0.2">
      <c r="A774" s="11"/>
    </row>
    <row r="775" spans="1:1" ht="16" x14ac:dyDescent="0.2">
      <c r="A775" s="11"/>
    </row>
    <row r="776" spans="1:1" ht="16" x14ac:dyDescent="0.2">
      <c r="A776" s="11"/>
    </row>
    <row r="777" spans="1:1" ht="16" x14ac:dyDescent="0.2">
      <c r="A777" s="11"/>
    </row>
    <row r="778" spans="1:1" ht="16" x14ac:dyDescent="0.2">
      <c r="A778" s="11"/>
    </row>
    <row r="779" spans="1:1" ht="16" x14ac:dyDescent="0.2">
      <c r="A779" s="11"/>
    </row>
    <row r="780" spans="1:1" ht="16" x14ac:dyDescent="0.2">
      <c r="A780" s="11"/>
    </row>
    <row r="781" spans="1:1" ht="16" x14ac:dyDescent="0.2">
      <c r="A781" s="11"/>
    </row>
    <row r="782" spans="1:1" ht="16" x14ac:dyDescent="0.2">
      <c r="A782" s="11"/>
    </row>
    <row r="783" spans="1:1" ht="16" x14ac:dyDescent="0.2">
      <c r="A783" s="11"/>
    </row>
    <row r="784" spans="1:1" ht="16" x14ac:dyDescent="0.2">
      <c r="A784" s="11"/>
    </row>
    <row r="785" spans="1:1" ht="16" x14ac:dyDescent="0.2">
      <c r="A785" s="11"/>
    </row>
    <row r="786" spans="1:1" ht="16" x14ac:dyDescent="0.2">
      <c r="A786" s="11"/>
    </row>
    <row r="787" spans="1:1" ht="16" x14ac:dyDescent="0.2">
      <c r="A787" s="11"/>
    </row>
    <row r="788" spans="1:1" ht="16" x14ac:dyDescent="0.2">
      <c r="A788" s="11"/>
    </row>
    <row r="789" spans="1:1" ht="16" x14ac:dyDescent="0.2">
      <c r="A789" s="11"/>
    </row>
    <row r="790" spans="1:1" ht="16" x14ac:dyDescent="0.2">
      <c r="A790" s="11"/>
    </row>
    <row r="791" spans="1:1" ht="16" x14ac:dyDescent="0.2">
      <c r="A791" s="11"/>
    </row>
    <row r="792" spans="1:1" ht="16" x14ac:dyDescent="0.2">
      <c r="A792" s="11"/>
    </row>
    <row r="793" spans="1:1" ht="16" x14ac:dyDescent="0.2">
      <c r="A793" s="11"/>
    </row>
    <row r="794" spans="1:1" ht="16" x14ac:dyDescent="0.2">
      <c r="A794" s="11"/>
    </row>
    <row r="795" spans="1:1" ht="16" x14ac:dyDescent="0.2">
      <c r="A795" s="11"/>
    </row>
    <row r="796" spans="1:1" ht="16" x14ac:dyDescent="0.2">
      <c r="A796" s="11"/>
    </row>
    <row r="797" spans="1:1" ht="16" x14ac:dyDescent="0.2">
      <c r="A797" s="11"/>
    </row>
    <row r="798" spans="1:1" ht="16" x14ac:dyDescent="0.2">
      <c r="A798" s="11"/>
    </row>
    <row r="799" spans="1:1" ht="16" x14ac:dyDescent="0.2">
      <c r="A799" s="11"/>
    </row>
    <row r="800" spans="1:1" ht="16" x14ac:dyDescent="0.2">
      <c r="A800" s="11"/>
    </row>
    <row r="801" spans="1:1" ht="16" x14ac:dyDescent="0.2">
      <c r="A801" s="11"/>
    </row>
    <row r="802" spans="1:1" ht="16" x14ac:dyDescent="0.2">
      <c r="A802" s="11"/>
    </row>
    <row r="803" spans="1:1" ht="16" x14ac:dyDescent="0.2">
      <c r="A803" s="11"/>
    </row>
    <row r="804" spans="1:1" ht="16" x14ac:dyDescent="0.2">
      <c r="A804" s="11"/>
    </row>
    <row r="805" spans="1:1" ht="16" x14ac:dyDescent="0.2">
      <c r="A805" s="11"/>
    </row>
    <row r="806" spans="1:1" ht="16" x14ac:dyDescent="0.2">
      <c r="A806" s="11"/>
    </row>
    <row r="807" spans="1:1" ht="16" x14ac:dyDescent="0.2">
      <c r="A807" s="11"/>
    </row>
    <row r="808" spans="1:1" ht="16" x14ac:dyDescent="0.2">
      <c r="A808" s="11"/>
    </row>
    <row r="809" spans="1:1" ht="16" x14ac:dyDescent="0.2">
      <c r="A809" s="11"/>
    </row>
    <row r="810" spans="1:1" ht="16" x14ac:dyDescent="0.2">
      <c r="A810" s="11"/>
    </row>
    <row r="811" spans="1:1" ht="16" x14ac:dyDescent="0.2">
      <c r="A811" s="11"/>
    </row>
    <row r="812" spans="1:1" ht="16" x14ac:dyDescent="0.2">
      <c r="A812" s="11"/>
    </row>
    <row r="813" spans="1:1" ht="16" x14ac:dyDescent="0.2">
      <c r="A813" s="11"/>
    </row>
    <row r="814" spans="1:1" ht="16" x14ac:dyDescent="0.2">
      <c r="A814" s="11"/>
    </row>
    <row r="815" spans="1:1" ht="16" x14ac:dyDescent="0.2">
      <c r="A815" s="11"/>
    </row>
    <row r="816" spans="1:1" ht="16" x14ac:dyDescent="0.2">
      <c r="A816" s="11"/>
    </row>
    <row r="817" spans="1:1" ht="16" x14ac:dyDescent="0.2">
      <c r="A817" s="11"/>
    </row>
    <row r="818" spans="1:1" ht="16" x14ac:dyDescent="0.2">
      <c r="A818" s="11"/>
    </row>
    <row r="819" spans="1:1" ht="16" x14ac:dyDescent="0.2">
      <c r="A819" s="11"/>
    </row>
    <row r="820" spans="1:1" ht="16" x14ac:dyDescent="0.2">
      <c r="A820" s="11"/>
    </row>
    <row r="821" spans="1:1" ht="16" x14ac:dyDescent="0.2">
      <c r="A821" s="11"/>
    </row>
    <row r="822" spans="1:1" ht="16" x14ac:dyDescent="0.2">
      <c r="A822" s="11"/>
    </row>
    <row r="823" spans="1:1" ht="16" x14ac:dyDescent="0.2">
      <c r="A823" s="11"/>
    </row>
    <row r="824" spans="1:1" ht="16" x14ac:dyDescent="0.2">
      <c r="A824" s="11"/>
    </row>
    <row r="825" spans="1:1" ht="16" x14ac:dyDescent="0.2">
      <c r="A825" s="11"/>
    </row>
    <row r="826" spans="1:1" ht="16" x14ac:dyDescent="0.2">
      <c r="A826" s="11"/>
    </row>
    <row r="827" spans="1:1" ht="16" x14ac:dyDescent="0.2">
      <c r="A827" s="11"/>
    </row>
    <row r="828" spans="1:1" ht="16" x14ac:dyDescent="0.2">
      <c r="A828" s="11"/>
    </row>
    <row r="829" spans="1:1" ht="16" x14ac:dyDescent="0.2">
      <c r="A829" s="11"/>
    </row>
    <row r="830" spans="1:1" ht="16" x14ac:dyDescent="0.2">
      <c r="A830" s="11"/>
    </row>
    <row r="831" spans="1:1" ht="16" x14ac:dyDescent="0.2">
      <c r="A831" s="11"/>
    </row>
    <row r="832" spans="1:1" ht="16" x14ac:dyDescent="0.2">
      <c r="A832" s="11"/>
    </row>
    <row r="833" spans="1:1" ht="16" x14ac:dyDescent="0.2">
      <c r="A833" s="11"/>
    </row>
    <row r="834" spans="1:1" ht="16" x14ac:dyDescent="0.2">
      <c r="A834" s="11"/>
    </row>
    <row r="835" spans="1:1" ht="16" x14ac:dyDescent="0.2">
      <c r="A835" s="11"/>
    </row>
    <row r="836" spans="1:1" ht="16" x14ac:dyDescent="0.2">
      <c r="A836" s="11"/>
    </row>
    <row r="837" spans="1:1" ht="16" x14ac:dyDescent="0.2">
      <c r="A837" s="11"/>
    </row>
    <row r="838" spans="1:1" ht="16" x14ac:dyDescent="0.2">
      <c r="A838" s="11"/>
    </row>
    <row r="839" spans="1:1" ht="16" x14ac:dyDescent="0.2">
      <c r="A839" s="11"/>
    </row>
    <row r="840" spans="1:1" ht="16" x14ac:dyDescent="0.2">
      <c r="A840" s="11"/>
    </row>
    <row r="841" spans="1:1" ht="16" x14ac:dyDescent="0.2">
      <c r="A841" s="11"/>
    </row>
    <row r="842" spans="1:1" ht="16" x14ac:dyDescent="0.2">
      <c r="A842" s="11"/>
    </row>
    <row r="843" spans="1:1" ht="16" x14ac:dyDescent="0.2">
      <c r="A843" s="11"/>
    </row>
    <row r="844" spans="1:1" ht="16" x14ac:dyDescent="0.2">
      <c r="A844" s="11"/>
    </row>
    <row r="845" spans="1:1" ht="16" x14ac:dyDescent="0.2">
      <c r="A845" s="11"/>
    </row>
    <row r="846" spans="1:1" ht="16" x14ac:dyDescent="0.2">
      <c r="A846" s="11"/>
    </row>
    <row r="847" spans="1:1" ht="16" x14ac:dyDescent="0.2">
      <c r="A847" s="11"/>
    </row>
    <row r="848" spans="1:1" ht="16" x14ac:dyDescent="0.2">
      <c r="A848" s="11"/>
    </row>
    <row r="849" spans="1:1" ht="16" x14ac:dyDescent="0.2">
      <c r="A849" s="11"/>
    </row>
    <row r="850" spans="1:1" ht="16" x14ac:dyDescent="0.2">
      <c r="A850" s="11"/>
    </row>
    <row r="851" spans="1:1" ht="16" x14ac:dyDescent="0.2">
      <c r="A851" s="11"/>
    </row>
    <row r="852" spans="1:1" ht="16" x14ac:dyDescent="0.2">
      <c r="A852" s="11"/>
    </row>
    <row r="853" spans="1:1" ht="16" x14ac:dyDescent="0.2">
      <c r="A853" s="11"/>
    </row>
    <row r="854" spans="1:1" ht="16" x14ac:dyDescent="0.2">
      <c r="A854" s="11"/>
    </row>
    <row r="855" spans="1:1" ht="16" x14ac:dyDescent="0.2">
      <c r="A855" s="11"/>
    </row>
    <row r="856" spans="1:1" ht="16" x14ac:dyDescent="0.2">
      <c r="A856" s="11"/>
    </row>
    <row r="857" spans="1:1" ht="16" x14ac:dyDescent="0.2">
      <c r="A857" s="11"/>
    </row>
    <row r="858" spans="1:1" ht="16" x14ac:dyDescent="0.2">
      <c r="A858" s="11"/>
    </row>
    <row r="859" spans="1:1" ht="16" x14ac:dyDescent="0.2">
      <c r="A859" s="11"/>
    </row>
    <row r="860" spans="1:1" ht="16" x14ac:dyDescent="0.2">
      <c r="A860" s="11"/>
    </row>
    <row r="861" spans="1:1" ht="16" x14ac:dyDescent="0.2">
      <c r="A861" s="11"/>
    </row>
    <row r="862" spans="1:1" ht="16" x14ac:dyDescent="0.2">
      <c r="A862" s="11"/>
    </row>
    <row r="863" spans="1:1" ht="16" x14ac:dyDescent="0.2">
      <c r="A863" s="11"/>
    </row>
    <row r="864" spans="1:1" ht="16" x14ac:dyDescent="0.2">
      <c r="A864" s="11"/>
    </row>
    <row r="865" spans="1:1" ht="16" x14ac:dyDescent="0.2">
      <c r="A865" s="11"/>
    </row>
    <row r="866" spans="1:1" ht="16" x14ac:dyDescent="0.2">
      <c r="A866" s="11"/>
    </row>
    <row r="867" spans="1:1" ht="16" x14ac:dyDescent="0.2">
      <c r="A867" s="11"/>
    </row>
    <row r="868" spans="1:1" ht="16" x14ac:dyDescent="0.2">
      <c r="A868" s="11"/>
    </row>
    <row r="869" spans="1:1" ht="16" x14ac:dyDescent="0.2">
      <c r="A869" s="11"/>
    </row>
    <row r="870" spans="1:1" ht="16" x14ac:dyDescent="0.2">
      <c r="A870" s="11"/>
    </row>
    <row r="871" spans="1:1" ht="16" x14ac:dyDescent="0.2">
      <c r="A871" s="11"/>
    </row>
    <row r="872" spans="1:1" ht="16" x14ac:dyDescent="0.2">
      <c r="A872" s="11"/>
    </row>
    <row r="873" spans="1:1" ht="16" x14ac:dyDescent="0.2">
      <c r="A873" s="11"/>
    </row>
    <row r="874" spans="1:1" ht="16" x14ac:dyDescent="0.2">
      <c r="A874" s="11"/>
    </row>
    <row r="875" spans="1:1" ht="16" x14ac:dyDescent="0.2">
      <c r="A875" s="11"/>
    </row>
    <row r="876" spans="1:1" ht="16" x14ac:dyDescent="0.2">
      <c r="A876" s="11"/>
    </row>
    <row r="877" spans="1:1" ht="16" x14ac:dyDescent="0.2">
      <c r="A877" s="11"/>
    </row>
    <row r="878" spans="1:1" ht="16" x14ac:dyDescent="0.2">
      <c r="A878" s="11"/>
    </row>
    <row r="879" spans="1:1" ht="16" x14ac:dyDescent="0.2">
      <c r="A879" s="11"/>
    </row>
    <row r="880" spans="1:1" ht="16" x14ac:dyDescent="0.2">
      <c r="A880" s="11"/>
    </row>
    <row r="881" spans="1:1" ht="16" x14ac:dyDescent="0.2">
      <c r="A881" s="11"/>
    </row>
    <row r="882" spans="1:1" ht="16" x14ac:dyDescent="0.2">
      <c r="A882" s="11"/>
    </row>
    <row r="883" spans="1:1" ht="16" x14ac:dyDescent="0.2">
      <c r="A883" s="11"/>
    </row>
    <row r="884" spans="1:1" ht="16" x14ac:dyDescent="0.2">
      <c r="A884" s="11"/>
    </row>
    <row r="885" spans="1:1" ht="16" x14ac:dyDescent="0.2">
      <c r="A885" s="11"/>
    </row>
    <row r="886" spans="1:1" ht="16" x14ac:dyDescent="0.2">
      <c r="A886" s="11"/>
    </row>
    <row r="887" spans="1:1" ht="16" x14ac:dyDescent="0.2">
      <c r="A887" s="11"/>
    </row>
    <row r="888" spans="1:1" ht="16" x14ac:dyDescent="0.2">
      <c r="A888" s="11"/>
    </row>
    <row r="889" spans="1:1" ht="16" x14ac:dyDescent="0.2">
      <c r="A889" s="11"/>
    </row>
    <row r="890" spans="1:1" ht="16" x14ac:dyDescent="0.2">
      <c r="A890" s="11"/>
    </row>
    <row r="891" spans="1:1" ht="16" x14ac:dyDescent="0.2">
      <c r="A891" s="11"/>
    </row>
    <row r="892" spans="1:1" ht="16" x14ac:dyDescent="0.2">
      <c r="A892" s="11"/>
    </row>
    <row r="893" spans="1:1" ht="16" x14ac:dyDescent="0.2">
      <c r="A893" s="11"/>
    </row>
    <row r="894" spans="1:1" ht="16" x14ac:dyDescent="0.2">
      <c r="A894" s="11"/>
    </row>
    <row r="895" spans="1:1" ht="16" x14ac:dyDescent="0.2">
      <c r="A895" s="11"/>
    </row>
    <row r="896" spans="1:1" ht="16" x14ac:dyDescent="0.2">
      <c r="A896" s="11"/>
    </row>
    <row r="897" spans="1:1" ht="16" x14ac:dyDescent="0.2">
      <c r="A897" s="11"/>
    </row>
    <row r="898" spans="1:1" ht="16" x14ac:dyDescent="0.2">
      <c r="A898" s="11"/>
    </row>
    <row r="899" spans="1:1" ht="16" x14ac:dyDescent="0.2">
      <c r="A899" s="11"/>
    </row>
    <row r="900" spans="1:1" ht="16" x14ac:dyDescent="0.2">
      <c r="A900" s="11"/>
    </row>
    <row r="901" spans="1:1" ht="16" x14ac:dyDescent="0.2">
      <c r="A901" s="11"/>
    </row>
    <row r="902" spans="1:1" ht="16" x14ac:dyDescent="0.2">
      <c r="A902" s="11"/>
    </row>
    <row r="903" spans="1:1" ht="16" x14ac:dyDescent="0.2">
      <c r="A903" s="11"/>
    </row>
    <row r="904" spans="1:1" ht="16" x14ac:dyDescent="0.2">
      <c r="A904" s="11"/>
    </row>
    <row r="905" spans="1:1" ht="16" x14ac:dyDescent="0.2">
      <c r="A905" s="11"/>
    </row>
    <row r="906" spans="1:1" ht="16" x14ac:dyDescent="0.2">
      <c r="A906" s="11"/>
    </row>
    <row r="907" spans="1:1" ht="16" x14ac:dyDescent="0.2">
      <c r="A907" s="11"/>
    </row>
    <row r="908" spans="1:1" ht="16" x14ac:dyDescent="0.2">
      <c r="A908" s="11"/>
    </row>
    <row r="909" spans="1:1" ht="16" x14ac:dyDescent="0.2">
      <c r="A909" s="11"/>
    </row>
    <row r="910" spans="1:1" ht="16" x14ac:dyDescent="0.2">
      <c r="A910" s="11"/>
    </row>
    <row r="911" spans="1:1" ht="16" x14ac:dyDescent="0.2">
      <c r="A911" s="11"/>
    </row>
    <row r="912" spans="1:1" ht="16" x14ac:dyDescent="0.2">
      <c r="A912" s="11"/>
    </row>
    <row r="913" spans="1:1" ht="16" x14ac:dyDescent="0.2">
      <c r="A913" s="11"/>
    </row>
    <row r="914" spans="1:1" ht="16" x14ac:dyDescent="0.2">
      <c r="A914" s="11"/>
    </row>
    <row r="915" spans="1:1" ht="16" x14ac:dyDescent="0.2">
      <c r="A915" s="11"/>
    </row>
    <row r="916" spans="1:1" ht="16" x14ac:dyDescent="0.2">
      <c r="A916" s="11"/>
    </row>
    <row r="917" spans="1:1" ht="16" x14ac:dyDescent="0.2">
      <c r="A917" s="11"/>
    </row>
    <row r="918" spans="1:1" ht="16" x14ac:dyDescent="0.2">
      <c r="A918" s="11"/>
    </row>
    <row r="919" spans="1:1" ht="16" x14ac:dyDescent="0.2">
      <c r="A919" s="11"/>
    </row>
    <row r="920" spans="1:1" ht="16" x14ac:dyDescent="0.2">
      <c r="A920" s="11"/>
    </row>
    <row r="921" spans="1:1" ht="16" x14ac:dyDescent="0.2">
      <c r="A921" s="11"/>
    </row>
    <row r="922" spans="1:1" ht="16" x14ac:dyDescent="0.2">
      <c r="A922" s="11"/>
    </row>
    <row r="923" spans="1:1" ht="16" x14ac:dyDescent="0.2">
      <c r="A923" s="11"/>
    </row>
    <row r="924" spans="1:1" ht="16" x14ac:dyDescent="0.2">
      <c r="A924" s="11"/>
    </row>
    <row r="925" spans="1:1" ht="16" x14ac:dyDescent="0.2">
      <c r="A925" s="11"/>
    </row>
    <row r="926" spans="1:1" ht="16" x14ac:dyDescent="0.2">
      <c r="A926" s="11"/>
    </row>
    <row r="927" spans="1:1" ht="16" x14ac:dyDescent="0.2">
      <c r="A927" s="11"/>
    </row>
    <row r="928" spans="1:1" ht="16" x14ac:dyDescent="0.2">
      <c r="A928" s="11"/>
    </row>
    <row r="929" spans="1:1" ht="16" x14ac:dyDescent="0.2">
      <c r="A929" s="11"/>
    </row>
    <row r="930" spans="1:1" ht="16" x14ac:dyDescent="0.2">
      <c r="A930" s="11"/>
    </row>
    <row r="931" spans="1:1" ht="16" x14ac:dyDescent="0.2">
      <c r="A931" s="11"/>
    </row>
    <row r="932" spans="1:1" ht="16" x14ac:dyDescent="0.2">
      <c r="A932" s="11"/>
    </row>
    <row r="933" spans="1:1" ht="16" x14ac:dyDescent="0.2">
      <c r="A933" s="11"/>
    </row>
    <row r="934" spans="1:1" ht="16" x14ac:dyDescent="0.2">
      <c r="A934" s="11"/>
    </row>
    <row r="935" spans="1:1" ht="16" x14ac:dyDescent="0.2">
      <c r="A935" s="11"/>
    </row>
    <row r="936" spans="1:1" ht="16" x14ac:dyDescent="0.2">
      <c r="A936" s="11"/>
    </row>
    <row r="937" spans="1:1" ht="16" x14ac:dyDescent="0.2">
      <c r="A937" s="11"/>
    </row>
    <row r="938" spans="1:1" ht="16" x14ac:dyDescent="0.2">
      <c r="A938" s="11"/>
    </row>
    <row r="939" spans="1:1" ht="16" x14ac:dyDescent="0.2">
      <c r="A939" s="11"/>
    </row>
    <row r="940" spans="1:1" ht="16" x14ac:dyDescent="0.2">
      <c r="A940" s="11"/>
    </row>
    <row r="941" spans="1:1" ht="16" x14ac:dyDescent="0.2">
      <c r="A941" s="11"/>
    </row>
    <row r="942" spans="1:1" ht="16" x14ac:dyDescent="0.2">
      <c r="A942" s="11"/>
    </row>
    <row r="943" spans="1:1" ht="16" x14ac:dyDescent="0.2">
      <c r="A943" s="11"/>
    </row>
    <row r="944" spans="1:1" ht="16" x14ac:dyDescent="0.2">
      <c r="A944" s="11"/>
    </row>
    <row r="945" spans="1:1" ht="16" x14ac:dyDescent="0.2">
      <c r="A945" s="11"/>
    </row>
    <row r="946" spans="1:1" ht="16" x14ac:dyDescent="0.2">
      <c r="A946" s="11"/>
    </row>
    <row r="947" spans="1:1" ht="16" x14ac:dyDescent="0.2">
      <c r="A947" s="11"/>
    </row>
    <row r="948" spans="1:1" ht="16" x14ac:dyDescent="0.2">
      <c r="A948" s="11"/>
    </row>
    <row r="949" spans="1:1" ht="16" x14ac:dyDescent="0.2">
      <c r="A949" s="11"/>
    </row>
    <row r="950" spans="1:1" ht="16" x14ac:dyDescent="0.2">
      <c r="A950" s="11"/>
    </row>
    <row r="951" spans="1:1" ht="16" x14ac:dyDescent="0.2">
      <c r="A951" s="11"/>
    </row>
    <row r="952" spans="1:1" ht="15" customHeight="1" x14ac:dyDescent="0.2">
      <c r="A952" s="11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3018-EEFC-420F-97FB-B8C6B6F6D7B8}">
  <dimension ref="A1:BC952"/>
  <sheetViews>
    <sheetView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A7" activeCellId="1" sqref="AE1:AE1048576 A7:XFD7"/>
    </sheetView>
  </sheetViews>
  <sheetFormatPr baseColWidth="10" defaultColWidth="11.1640625" defaultRowHeight="15" customHeight="1" x14ac:dyDescent="0.2"/>
  <cols>
    <col min="1" max="1" width="10.6640625" style="7" customWidth="1"/>
    <col min="2" max="37" width="11" style="7" customWidth="1"/>
    <col min="38" max="16384" width="11.1640625" style="7"/>
  </cols>
  <sheetData>
    <row r="1" spans="1:55" ht="15" customHeight="1" x14ac:dyDescent="0.2">
      <c r="A1" s="5" t="s">
        <v>23</v>
      </c>
      <c r="B1" s="6" t="s">
        <v>1</v>
      </c>
      <c r="C1" s="6" t="s">
        <v>1</v>
      </c>
      <c r="D1" s="6" t="s">
        <v>1</v>
      </c>
      <c r="E1" s="6" t="s">
        <v>2</v>
      </c>
      <c r="F1" s="6" t="s">
        <v>2</v>
      </c>
      <c r="G1" s="6" t="s">
        <v>2</v>
      </c>
      <c r="H1" s="6" t="s">
        <v>3</v>
      </c>
      <c r="I1" s="6" t="s">
        <v>3</v>
      </c>
      <c r="J1" s="6" t="s">
        <v>3</v>
      </c>
      <c r="K1" s="6" t="s">
        <v>4</v>
      </c>
      <c r="L1" s="6" t="s">
        <v>4</v>
      </c>
      <c r="M1" s="6" t="s">
        <v>4</v>
      </c>
      <c r="N1" s="6" t="s">
        <v>5</v>
      </c>
      <c r="O1" s="6" t="s">
        <v>5</v>
      </c>
      <c r="P1" s="6" t="s">
        <v>5</v>
      </c>
      <c r="Q1" s="6" t="s">
        <v>6</v>
      </c>
      <c r="R1" s="6" t="s">
        <v>6</v>
      </c>
      <c r="S1" s="6" t="s">
        <v>6</v>
      </c>
      <c r="T1" s="6" t="s">
        <v>7</v>
      </c>
      <c r="U1" s="6" t="s">
        <v>7</v>
      </c>
      <c r="V1" s="6" t="s">
        <v>7</v>
      </c>
      <c r="W1" s="6" t="s">
        <v>8</v>
      </c>
      <c r="X1" s="6" t="s">
        <v>8</v>
      </c>
      <c r="Y1" s="6" t="s">
        <v>8</v>
      </c>
      <c r="Z1" s="6" t="s">
        <v>9</v>
      </c>
      <c r="AA1" s="6" t="s">
        <v>9</v>
      </c>
      <c r="AB1" s="6" t="s">
        <v>9</v>
      </c>
      <c r="AC1" s="6" t="s">
        <v>10</v>
      </c>
      <c r="AD1" s="6" t="s">
        <v>10</v>
      </c>
      <c r="AE1" s="6" t="s">
        <v>10</v>
      </c>
      <c r="AF1" s="6" t="s">
        <v>11</v>
      </c>
      <c r="AG1" s="6" t="s">
        <v>11</v>
      </c>
      <c r="AH1" s="6" t="s">
        <v>11</v>
      </c>
      <c r="AI1" s="6" t="s">
        <v>12</v>
      </c>
      <c r="AJ1" s="6" t="s">
        <v>12</v>
      </c>
      <c r="AK1" s="6" t="s">
        <v>12</v>
      </c>
      <c r="AL1" s="7" t="s">
        <v>13</v>
      </c>
      <c r="AM1" s="7" t="s">
        <v>13</v>
      </c>
      <c r="AN1" s="7" t="s">
        <v>13</v>
      </c>
      <c r="AO1" s="7" t="s">
        <v>14</v>
      </c>
      <c r="AP1" s="7" t="s">
        <v>14</v>
      </c>
      <c r="AQ1" s="7" t="s">
        <v>14</v>
      </c>
      <c r="AR1" s="7" t="s">
        <v>15</v>
      </c>
      <c r="AS1" s="7" t="s">
        <v>15</v>
      </c>
      <c r="AT1" s="7" t="s">
        <v>15</v>
      </c>
      <c r="AU1" s="7" t="s">
        <v>16</v>
      </c>
      <c r="AV1" s="7" t="s">
        <v>16</v>
      </c>
      <c r="AW1" s="7" t="s">
        <v>16</v>
      </c>
      <c r="AX1" s="7" t="s">
        <v>17</v>
      </c>
      <c r="AY1" s="7" t="s">
        <v>17</v>
      </c>
      <c r="AZ1" s="7" t="s">
        <v>17</v>
      </c>
      <c r="BA1" s="7" t="s">
        <v>18</v>
      </c>
      <c r="BB1" s="7" t="s">
        <v>18</v>
      </c>
      <c r="BC1" s="7" t="s">
        <v>18</v>
      </c>
    </row>
    <row r="2" spans="1:55" ht="15" customHeight="1" x14ac:dyDescent="0.2">
      <c r="A2" s="5" t="s">
        <v>24</v>
      </c>
      <c r="B2" s="6" t="s">
        <v>28</v>
      </c>
      <c r="C2" s="6" t="s">
        <v>26</v>
      </c>
      <c r="D2" s="6" t="s">
        <v>27</v>
      </c>
      <c r="E2" s="6" t="s">
        <v>28</v>
      </c>
      <c r="F2" s="6" t="s">
        <v>26</v>
      </c>
      <c r="G2" s="6" t="s">
        <v>27</v>
      </c>
      <c r="H2" s="6" t="s">
        <v>28</v>
      </c>
      <c r="I2" s="6" t="s">
        <v>26</v>
      </c>
      <c r="J2" s="6" t="s">
        <v>27</v>
      </c>
      <c r="K2" s="6" t="s">
        <v>28</v>
      </c>
      <c r="L2" s="6" t="s">
        <v>26</v>
      </c>
      <c r="M2" s="6" t="s">
        <v>27</v>
      </c>
      <c r="N2" s="6" t="s">
        <v>28</v>
      </c>
      <c r="O2" s="6" t="s">
        <v>26</v>
      </c>
      <c r="P2" s="6" t="s">
        <v>27</v>
      </c>
      <c r="Q2" s="6" t="s">
        <v>28</v>
      </c>
      <c r="R2" s="6" t="s">
        <v>26</v>
      </c>
      <c r="S2" s="6" t="s">
        <v>27</v>
      </c>
      <c r="T2" s="6" t="s">
        <v>28</v>
      </c>
      <c r="U2" s="6" t="s">
        <v>26</v>
      </c>
      <c r="V2" s="6" t="s">
        <v>27</v>
      </c>
      <c r="W2" s="6" t="s">
        <v>28</v>
      </c>
      <c r="X2" s="6" t="s">
        <v>26</v>
      </c>
      <c r="Y2" s="6" t="s">
        <v>27</v>
      </c>
      <c r="Z2" s="6" t="s">
        <v>28</v>
      </c>
      <c r="AA2" s="6" t="s">
        <v>26</v>
      </c>
      <c r="AB2" s="6" t="s">
        <v>27</v>
      </c>
      <c r="AC2" s="6" t="s">
        <v>28</v>
      </c>
      <c r="AD2" s="6" t="s">
        <v>26</v>
      </c>
      <c r="AE2" s="6" t="s">
        <v>27</v>
      </c>
      <c r="AF2" s="6" t="s">
        <v>28</v>
      </c>
      <c r="AG2" s="6" t="s">
        <v>26</v>
      </c>
      <c r="AH2" s="6" t="s">
        <v>27</v>
      </c>
      <c r="AI2" s="6" t="s">
        <v>28</v>
      </c>
      <c r="AJ2" s="6" t="s">
        <v>26</v>
      </c>
      <c r="AK2" s="6" t="s">
        <v>27</v>
      </c>
      <c r="AL2" s="7" t="s">
        <v>28</v>
      </c>
      <c r="AM2" s="7" t="s">
        <v>26</v>
      </c>
      <c r="AN2" s="7" t="s">
        <v>27</v>
      </c>
      <c r="AO2" s="7" t="s">
        <v>28</v>
      </c>
      <c r="AP2" s="7" t="s">
        <v>26</v>
      </c>
      <c r="AQ2" s="7" t="s">
        <v>27</v>
      </c>
      <c r="AR2" s="7" t="s">
        <v>28</v>
      </c>
      <c r="AS2" s="7" t="s">
        <v>26</v>
      </c>
      <c r="AT2" s="7" t="s">
        <v>27</v>
      </c>
      <c r="AU2" s="7" t="s">
        <v>28</v>
      </c>
      <c r="AV2" s="7" t="s">
        <v>26</v>
      </c>
      <c r="AW2" s="7" t="s">
        <v>27</v>
      </c>
      <c r="AX2" s="7" t="s">
        <v>28</v>
      </c>
      <c r="AY2" s="7" t="s">
        <v>26</v>
      </c>
      <c r="AZ2" s="7" t="s">
        <v>27</v>
      </c>
      <c r="BA2" s="7" t="s">
        <v>28</v>
      </c>
      <c r="BB2" s="7" t="s">
        <v>26</v>
      </c>
      <c r="BC2" s="7" t="s">
        <v>27</v>
      </c>
    </row>
    <row r="3" spans="1:55" ht="15" customHeight="1" x14ac:dyDescent="0.2">
      <c r="A3" s="8">
        <v>2000</v>
      </c>
      <c r="B3" s="9">
        <f>(LN(RawData!B4)-LN(RawData!B3))*100</f>
        <v>0.23981618842512376</v>
      </c>
      <c r="C3" s="9">
        <f>(LN(RawData!C4)-LN(RawData!C3))*100</f>
        <v>-0.79212800542052264</v>
      </c>
      <c r="D3" s="9">
        <f>(LN(RawData!D4)-LN(RawData!D3))*100</f>
        <v>3.6166704982960596</v>
      </c>
      <c r="E3" s="9">
        <f>(LN(RawData!E4)-LN(RawData!E3))*100</f>
        <v>6.3653409685169748</v>
      </c>
      <c r="F3" s="9">
        <f>(LN(RawData!F4)-LN(RawData!F3))*100</f>
        <v>3.846579201540834</v>
      </c>
      <c r="G3" s="9">
        <f>(LN(RawData!G4)-LN(RawData!G3))*100</f>
        <v>6.8411098607350951</v>
      </c>
      <c r="H3" s="9">
        <f>(LN(RawData!H4)-LN(RawData!H3))*100</f>
        <v>9.748967473050385</v>
      </c>
      <c r="I3" s="9">
        <f>(LN(RawData!I4)-LN(RawData!I3))*100</f>
        <v>4.2944056049766033</v>
      </c>
      <c r="J3" s="9">
        <f>(LN(RawData!J4)-LN(RawData!J3))*100</f>
        <v>21.368901074698066</v>
      </c>
      <c r="K3" s="9">
        <f>(LN(RawData!K4)-LN(RawData!K3))*100</f>
        <v>9.2921038514077736</v>
      </c>
      <c r="L3" s="9">
        <f>(LN(RawData!L4)-LN(RawData!L3))*100</f>
        <v>5.0108715317055186</v>
      </c>
      <c r="M3" s="9">
        <f>(LN(RawData!M4)-LN(RawData!M3))*100</f>
        <v>7.347771063010633</v>
      </c>
      <c r="N3" s="9">
        <f>(LN(RawData!N4)-LN(RawData!N3))*100</f>
        <v>10.190672955107161</v>
      </c>
      <c r="O3" s="9">
        <f>(LN(RawData!O4)-LN(RawData!O3))*100</f>
        <v>8.1488677809826271</v>
      </c>
      <c r="P3" s="9">
        <f>(LN(RawData!P4)-LN(RawData!P3))*100</f>
        <v>12.335248677573674</v>
      </c>
      <c r="Q3" s="9">
        <f>(LN(RawData!Q4)-LN(RawData!Q3))*100</f>
        <v>5.3899995779161713</v>
      </c>
      <c r="R3" s="9">
        <f>(LN(RawData!R4)-LN(RawData!R3))*100</f>
        <v>3.8486493940315114</v>
      </c>
      <c r="S3" s="9">
        <f>(LN(RawData!S4)-LN(RawData!S3))*100</f>
        <v>5.5156540132696108</v>
      </c>
      <c r="T3" s="9">
        <f>(LN(RawData!T4)-LN(RawData!T3))*100</f>
        <v>2.380305108739833</v>
      </c>
      <c r="U3" s="9">
        <f>(LN(RawData!U4)-LN(RawData!U3))*100</f>
        <v>2.8708955434382233</v>
      </c>
      <c r="V3" s="9">
        <f>(LN(RawData!V4)-LN(RawData!V3))*100</f>
        <v>5.5156540132696108</v>
      </c>
      <c r="W3" s="9">
        <f>(LN(RawData!W4)-LN(RawData!W3))*100</f>
        <v>7.3491736515155281</v>
      </c>
      <c r="X3" s="9">
        <f>(LN(RawData!X4)-LN(RawData!X3))*100</f>
        <v>3.7690611958645093</v>
      </c>
      <c r="Y3" s="9">
        <f>(LN(RawData!Y4)-LN(RawData!Y3))*100</f>
        <v>14.62945156959421</v>
      </c>
      <c r="Z3" s="9">
        <f>(LN(RawData!Z4)-LN(RawData!Z3))*100</f>
        <v>23.407204383958202</v>
      </c>
      <c r="AA3" s="9">
        <f>(LN(RawData!AA4)-LN(RawData!AA3))*100</f>
        <v>4.8028614719250129</v>
      </c>
      <c r="AB3" s="9">
        <f>(LN(RawData!AB4)-LN(RawData!AB3))*100</f>
        <v>9.4311404455410752</v>
      </c>
      <c r="AC3" s="9">
        <f>(LN(RawData!AC4)-LN(RawData!AC3))*100</f>
        <v>5.4935343023455374</v>
      </c>
      <c r="AD3" s="9">
        <f>(LN(RawData!AD4)-LN(RawData!AD3))*100</f>
        <v>3.7170103852350422</v>
      </c>
      <c r="AE3" s="9">
        <f>(LN(RawData!AE4)-LN(RawData!AE3))*100</f>
        <v>5.5156540132696108</v>
      </c>
      <c r="AF3" s="9">
        <f>(LN(RawData!AF4)-LN(RawData!AF3))*100</f>
        <v>1.3818528627048465</v>
      </c>
      <c r="AG3" s="9">
        <f>(LN(RawData!AG4)-LN(RawData!AG3))*100</f>
        <v>2.7271212473344519</v>
      </c>
      <c r="AH3" s="9">
        <f>(LN(RawData!AH4)-LN(RawData!AH3))*100</f>
        <v>1.9258430166200213</v>
      </c>
      <c r="AI3" s="9">
        <f>(LN(RawData!AI4)-LN(RawData!AI3))*100</f>
        <v>15.070428676794023</v>
      </c>
      <c r="AJ3" s="9">
        <f>(LN(RawData!AJ4)-LN(RawData!AJ3))*100</f>
        <v>4.9069020464283852</v>
      </c>
      <c r="AK3" s="9">
        <f>(LN(RawData!AK4)-LN(RawData!AK3))*100</f>
        <v>19.256241323557077</v>
      </c>
      <c r="AL3" s="9">
        <f>(LN(RawData!AL4)-LN(RawData!AL3))*100</f>
        <v>41.520296117206357</v>
      </c>
      <c r="AM3" s="9">
        <f>(LN(RawData!AM4)-LN(RawData!AM3))*100</f>
        <v>9.5310787200972413</v>
      </c>
      <c r="AN3" s="9">
        <f>(LN(RawData!AN4)-LN(RawData!AN3))*100</f>
        <v>47.018196499251985</v>
      </c>
      <c r="AO3" s="9">
        <f>(LN(RawData!AO4)-LN(RawData!AO3))*100</f>
        <v>12.898972508698847</v>
      </c>
      <c r="AP3" s="9">
        <f>(LN(RawData!AP4)-LN(RawData!AP3))*100</f>
        <v>4.114194333768495</v>
      </c>
      <c r="AQ3" s="9">
        <f>(LN(RawData!AQ4)-LN(RawData!AQ3))*100</f>
        <v>8.1102225281245666</v>
      </c>
      <c r="AR3" s="9">
        <f>(LN(RawData!AR4)-LN(RawData!AR3))*100</f>
        <v>9.6901447200124835</v>
      </c>
      <c r="AS3" s="9">
        <f>(LN(RawData!AS4)-LN(RawData!AS3))*100</f>
        <v>8.6735644458855177</v>
      </c>
      <c r="AT3" s="9">
        <f>(LN(RawData!AT4)-LN(RawData!AT3))*100</f>
        <v>5.6062206250015123</v>
      </c>
      <c r="AU3" s="9">
        <f>(LN(RawData!AU4)-LN(RawData!AU3))*100</f>
        <v>46.822903611480271</v>
      </c>
      <c r="AV3" s="9">
        <f>(LN(RawData!AV4)-LN(RawData!AV3))*100</f>
        <v>6.703452575496982</v>
      </c>
      <c r="AW3" s="9">
        <f>(LN(RawData!AW4)-LN(RawData!AW3))*100</f>
        <v>53.004243049401722</v>
      </c>
      <c r="AX3" s="9">
        <f>(LN(RawData!AX4)-LN(RawData!AX3))*100</f>
        <v>5.3654659193412613</v>
      </c>
      <c r="AY3" s="9">
        <f>(LN(RawData!AY4)-LN(RawData!AY3))*100</f>
        <v>4.2280709835520014</v>
      </c>
      <c r="AZ3" s="9">
        <f>(LN(RawData!AZ4)-LN(RawData!AZ3))*100</f>
        <v>7.7817926984538488</v>
      </c>
      <c r="BA3" s="9">
        <f>(LN(RawData!BA4)-LN(RawData!BA3))*100</f>
        <v>6.2365657904052796</v>
      </c>
      <c r="BB3" s="9">
        <f>(LN(RawData!BB4)-LN(RawData!BB3))*100</f>
        <v>3.9966451925248947</v>
      </c>
      <c r="BC3" s="9">
        <f>(LN(RawData!BC4)-LN(RawData!BC3))*100</f>
        <v>5.896712831712847</v>
      </c>
    </row>
    <row r="4" spans="1:55" s="9" customFormat="1" ht="15" customHeight="1" x14ac:dyDescent="0.2">
      <c r="A4" s="8">
        <v>2001</v>
      </c>
      <c r="B4" s="9">
        <f>(LN(RawData!B5)-LN(RawData!B4))*100</f>
        <v>-5.610799023433799</v>
      </c>
      <c r="C4" s="9">
        <f>(LN(RawData!C5)-LN(RawData!C4))*100</f>
        <v>-4.5089835504928288</v>
      </c>
      <c r="D4" s="9">
        <f>(LN(RawData!D5)-LN(RawData!D4))*100</f>
        <v>-8.7046926585600204</v>
      </c>
      <c r="E4" s="9">
        <f>(LN(RawData!E5)-LN(RawData!E4))*100</f>
        <v>6.5315939136549872</v>
      </c>
      <c r="F4" s="9">
        <f>(LN(RawData!F5)-LN(RawData!F4))*100</f>
        <v>2.0048943187525481</v>
      </c>
      <c r="G4" s="9">
        <f>(LN(RawData!G5)-LN(RawData!G4))*100</f>
        <v>8.4746778954194468</v>
      </c>
      <c r="H4" s="9">
        <f>(LN(RawData!H5)-LN(RawData!H4))*100</f>
        <v>9.2846338057135824</v>
      </c>
      <c r="I4" s="9">
        <f>(LN(RawData!I5)-LN(RawData!I4))*100</f>
        <v>1.3803259188286177</v>
      </c>
      <c r="J4" s="9">
        <f>(LN(RawData!J5)-LN(RawData!J4))*100</f>
        <v>14.007077445420357</v>
      </c>
      <c r="K4" s="9">
        <f>(LN(RawData!K5)-LN(RawData!K4))*100</f>
        <v>3.4191577479461444</v>
      </c>
      <c r="L4" s="9">
        <f>(LN(RawData!L5)-LN(RawData!L4))*100</f>
        <v>1.8577348833016316</v>
      </c>
      <c r="M4" s="9">
        <f>(LN(RawData!M5)-LN(RawData!M4))*100</f>
        <v>5.3756205537879964</v>
      </c>
      <c r="N4" s="9">
        <f>(LN(RawData!N5)-LN(RawData!N4))*100</f>
        <v>10.032865274457237</v>
      </c>
      <c r="O4" s="9">
        <f>(LN(RawData!O5)-LN(RawData!O4))*100</f>
        <v>8.0064862611237686</v>
      </c>
      <c r="P4" s="9">
        <f>(LN(RawData!P5)-LN(RawData!P4))*100</f>
        <v>14.323581657208351</v>
      </c>
      <c r="Q4" s="9">
        <f>(LN(RawData!Q5)-LN(RawData!Q4))*100</f>
        <v>3.9527352282913597</v>
      </c>
      <c r="R4" s="9">
        <f>(LN(RawData!R5)-LN(RawData!R4))*100</f>
        <v>1.9643020624741325</v>
      </c>
      <c r="S4" s="9">
        <f>(LN(RawData!S5)-LN(RawData!S4))*100</f>
        <v>8.0727155320042598</v>
      </c>
      <c r="T4" s="9">
        <f>(LN(RawData!T5)-LN(RawData!T4))*100</f>
        <v>2.9640415116372054</v>
      </c>
      <c r="U4" s="9">
        <f>(LN(RawData!U5)-LN(RawData!U4))*100</f>
        <v>1.6674882969887506</v>
      </c>
      <c r="V4" s="9">
        <f>(LN(RawData!V5)-LN(RawData!V4))*100</f>
        <v>8.0727155320042598</v>
      </c>
      <c r="W4" s="9">
        <f>(LN(RawData!W5)-LN(RawData!W4))*100</f>
        <v>7.8762219103083453</v>
      </c>
      <c r="X4" s="9">
        <f>(LN(RawData!X5)-LN(RawData!X4))*100</f>
        <v>4.7112245494307814</v>
      </c>
      <c r="Y4" s="9">
        <f>(LN(RawData!Y5)-LN(RawData!Y4))*100</f>
        <v>15.383736970326467</v>
      </c>
      <c r="Z4" s="9">
        <f>(LN(RawData!Z5)-LN(RawData!Z4))*100</f>
        <v>16.940551501100742</v>
      </c>
      <c r="AA4" s="9">
        <f>(LN(RawData!AA5)-LN(RawData!AA4))*100</f>
        <v>3.5786616154027229</v>
      </c>
      <c r="AB4" s="9">
        <f>(LN(RawData!AB5)-LN(RawData!AB4))*100</f>
        <v>13.72028816785118</v>
      </c>
      <c r="AC4" s="9">
        <f>(LN(RawData!AC5)-LN(RawData!AC4))*100</f>
        <v>4.9210649408898632</v>
      </c>
      <c r="AD4" s="9">
        <f>(LN(RawData!AD5)-LN(RawData!AD4))*100</f>
        <v>1.9325764164559445</v>
      </c>
      <c r="AE4" s="9">
        <f>(LN(RawData!AE5)-LN(RawData!AE4))*100</f>
        <v>8.0727155320042598</v>
      </c>
      <c r="AF4" s="9">
        <f>(LN(RawData!AF5)-LN(RawData!AF4))*100</f>
        <v>-0.70544762113016191</v>
      </c>
      <c r="AG4" s="9">
        <f>(LN(RawData!AG5)-LN(RawData!AG4))*100</f>
        <v>0.38535995995161443</v>
      </c>
      <c r="AH4" s="9">
        <f>(LN(RawData!AH5)-LN(RawData!AH4))*100</f>
        <v>1.5882999221915384</v>
      </c>
      <c r="AI4" s="9">
        <f>(LN(RawData!AI5)-LN(RawData!AI4))*100</f>
        <v>5.8202685845792246</v>
      </c>
      <c r="AJ4" s="9">
        <f>(LN(RawData!AJ5)-LN(RawData!AJ4))*100</f>
        <v>-0.45186462544251071</v>
      </c>
      <c r="AK4" s="9">
        <f>(LN(RawData!AK5)-LN(RawData!AK4))*100</f>
        <v>24.829279668436932</v>
      </c>
      <c r="AL4" s="9">
        <f>(LN(RawData!AL5)-LN(RawData!AL4))*100</f>
        <v>20.228870986663594</v>
      </c>
      <c r="AM4" s="9">
        <f>(LN(RawData!AM5)-LN(RawData!AM4))*100</f>
        <v>4.9742579294559164</v>
      </c>
      <c r="AN4" s="9">
        <f>(LN(RawData!AN5)-LN(RawData!AN4))*100</f>
        <v>37.403814755783941</v>
      </c>
      <c r="AO4" s="9">
        <f>(LN(RawData!AO5)-LN(RawData!AO4))*100</f>
        <v>10.17538093906758</v>
      </c>
      <c r="AP4" s="9">
        <f>(LN(RawData!AP5)-LN(RawData!AP4))*100</f>
        <v>2.6641930948279935</v>
      </c>
      <c r="AQ4" s="9">
        <f>(LN(RawData!AQ5)-LN(RawData!AQ4))*100</f>
        <v>13.542235824069415</v>
      </c>
      <c r="AR4" s="9">
        <f>(LN(RawData!AR5)-LN(RawData!AR4))*100</f>
        <v>8.1577124282205205</v>
      </c>
      <c r="AS4" s="9">
        <f>(LN(RawData!AS5)-LN(RawData!AS4))*100</f>
        <v>4.7383456853928863</v>
      </c>
      <c r="AT4" s="9">
        <f>(LN(RawData!AT5)-LN(RawData!AT4))*100</f>
        <v>9.0648873535929653</v>
      </c>
      <c r="AU4" s="9">
        <f>(LN(RawData!AU5)-LN(RawData!AU4))*100</f>
        <v>36.591601431298315</v>
      </c>
      <c r="AV4" s="9">
        <f>(LN(RawData!AV5)-LN(RawData!AV4))*100</f>
        <v>-5.9219429205253249</v>
      </c>
      <c r="AW4" s="9">
        <f>(LN(RawData!AW5)-LN(RawData!AW4))*100</f>
        <v>55.681876347801484</v>
      </c>
      <c r="AX4" s="9">
        <f>(LN(RawData!AX5)-LN(RawData!AX4))*100</f>
        <v>4.0401829806601341</v>
      </c>
      <c r="AY4" s="9">
        <f>(LN(RawData!AY5)-LN(RawData!AY4))*100</f>
        <v>2.5460522998873358</v>
      </c>
      <c r="AZ4" s="9">
        <f>(LN(RawData!AZ5)-LN(RawData!AZ4))*100</f>
        <v>9.7442062367985471</v>
      </c>
      <c r="BA4" s="9">
        <f>(LN(RawData!BA5)-LN(RawData!BA4))*100</f>
        <v>3.1777155632422449</v>
      </c>
      <c r="BB4" s="9">
        <f>(LN(RawData!BB5)-LN(RawData!BB4))*100</f>
        <v>0.95100195385882103</v>
      </c>
      <c r="BC4" s="9">
        <f>(LN(RawData!BC5)-LN(RawData!BC4))*100</f>
        <v>8.3503321398731956</v>
      </c>
    </row>
    <row r="5" spans="1:55" ht="15" customHeight="1" x14ac:dyDescent="0.2">
      <c r="A5" s="8">
        <v>2002</v>
      </c>
      <c r="B5" s="9">
        <f>(LN(RawData!B6)-LN(RawData!B5))*100</f>
        <v>15.127701613928934</v>
      </c>
      <c r="C5" s="9">
        <f>(LN(RawData!C6)-LN(RawData!C5))*100</f>
        <v>-11.534895475794826</v>
      </c>
      <c r="D5" s="9">
        <f>(LN(RawData!D6)-LN(RawData!D5))*100</f>
        <v>-8.8034574187151549</v>
      </c>
      <c r="E5" s="9">
        <f>(LN(RawData!E6)-LN(RawData!E5))*100</f>
        <v>6.7032045296990361</v>
      </c>
      <c r="F5" s="9">
        <f>(LN(RawData!F6)-LN(RawData!F5))*100</f>
        <v>3.9024864705048401</v>
      </c>
      <c r="G5" s="9">
        <f>(LN(RawData!G6)-LN(RawData!G5))*100</f>
        <v>8.4255326962445309</v>
      </c>
      <c r="H5" s="9">
        <f>(LN(RawData!H6)-LN(RawData!H5))*100</f>
        <v>12.355086496210888</v>
      </c>
      <c r="I5" s="9">
        <f>(LN(RawData!I6)-LN(RawData!I5))*100</f>
        <v>3.0077714758814267</v>
      </c>
      <c r="J5" s="9">
        <f>(LN(RawData!J6)-LN(RawData!J5))*100</f>
        <v>9.3829439168285234</v>
      </c>
      <c r="K5" s="9">
        <f>(LN(RawData!K6)-LN(RawData!K5))*100</f>
        <v>4.2048395568404118</v>
      </c>
      <c r="L5" s="9">
        <f>(LN(RawData!L6)-LN(RawData!L5))*100</f>
        <v>2.9551572599579856</v>
      </c>
      <c r="M5" s="9">
        <f>(LN(RawData!M6)-LN(RawData!M5))*100</f>
        <v>5.7745984226864167</v>
      </c>
      <c r="N5" s="9">
        <f>(LN(RawData!N6)-LN(RawData!N5))*100</f>
        <v>9.3405852949036472</v>
      </c>
      <c r="O5" s="9">
        <f>(LN(RawData!O6)-LN(RawData!O5))*100</f>
        <v>8.7402915900206324</v>
      </c>
      <c r="P5" s="9">
        <f>(LN(RawData!P6)-LN(RawData!P5))*100</f>
        <v>15.495944582646004</v>
      </c>
      <c r="Q5" s="9">
        <f>(LN(RawData!Q6)-LN(RawData!Q5))*100</f>
        <v>3.1754772766291239</v>
      </c>
      <c r="R5" s="9">
        <f>(LN(RawData!R6)-LN(RawData!R5))*100</f>
        <v>1.1291327178380328</v>
      </c>
      <c r="S5" s="9">
        <f>(LN(RawData!S6)-LN(RawData!S5))*100</f>
        <v>6.8138212369921902</v>
      </c>
      <c r="T5" s="9">
        <f>(LN(RawData!T6)-LN(RawData!T5))*100</f>
        <v>1.1705459621925485</v>
      </c>
      <c r="U5" s="9">
        <f>(LN(RawData!U6)-LN(RawData!U5))*100</f>
        <v>-0.19817006199609466</v>
      </c>
      <c r="V5" s="9">
        <f>(LN(RawData!V6)-LN(RawData!V5))*100</f>
        <v>6.8138212369921902</v>
      </c>
      <c r="W5" s="9">
        <f>(LN(RawData!W6)-LN(RawData!W5))*100</f>
        <v>7.3817241541682677</v>
      </c>
      <c r="X5" s="9">
        <f>(LN(RawData!X6)-LN(RawData!X5))*100</f>
        <v>3.7334081901697402</v>
      </c>
      <c r="Y5" s="9">
        <f>(LN(RawData!Y6)-LN(RawData!Y5))*100</f>
        <v>14.632223840690273</v>
      </c>
      <c r="Z5" s="9">
        <f>(LN(RawData!Z6)-LN(RawData!Z5))*100</f>
        <v>10.129964779474676</v>
      </c>
      <c r="AA5" s="9">
        <f>(LN(RawData!AA6)-LN(RawData!AA5))*100</f>
        <v>4.4011865202229217</v>
      </c>
      <c r="AB5" s="9">
        <f>(LN(RawData!AB6)-LN(RawData!AB5))*100</f>
        <v>7.6624346821134282</v>
      </c>
      <c r="AC5" s="9">
        <f>(LN(RawData!AC6)-LN(RawData!AC5))*100</f>
        <v>3.4754985863642673</v>
      </c>
      <c r="AD5" s="9">
        <f>(LN(RawData!AD6)-LN(RawData!AD5))*100</f>
        <v>0.25362110856512743</v>
      </c>
      <c r="AE5" s="9">
        <f>(LN(RawData!AE6)-LN(RawData!AE5))*100</f>
        <v>6.8138212369921902</v>
      </c>
      <c r="AF5" s="9">
        <f>(LN(RawData!AF6)-LN(RawData!AF5))*100</f>
        <v>-1.3587896816467548</v>
      </c>
      <c r="AG5" s="9">
        <f>(LN(RawData!AG6)-LN(RawData!AG5))*100</f>
        <v>4.1953697517982391E-2</v>
      </c>
      <c r="AH5" s="9">
        <f>(LN(RawData!AH6)-LN(RawData!AH5))*100</f>
        <v>1.9060963727323355</v>
      </c>
      <c r="AI5" s="9">
        <f>(LN(RawData!AI6)-LN(RawData!AI5))*100</f>
        <v>5.1194113057700719</v>
      </c>
      <c r="AJ5" s="9">
        <f>(LN(RawData!AJ6)-LN(RawData!AJ5))*100</f>
        <v>-0.23686831354545745</v>
      </c>
      <c r="AK5" s="9">
        <f>(LN(RawData!AK6)-LN(RawData!AK5))*100</f>
        <v>8.5432635079854435</v>
      </c>
      <c r="AL5" s="9">
        <f>(LN(RawData!AL6)-LN(RawData!AL5))*100</f>
        <v>19.143000319497361</v>
      </c>
      <c r="AM5" s="9">
        <f>(LN(RawData!AM6)-LN(RawData!AM5))*100</f>
        <v>4.5928854611823056</v>
      </c>
      <c r="AN5" s="9">
        <f>(LN(RawData!AN6)-LN(RawData!AN5))*100</f>
        <v>27.048339278927269</v>
      </c>
      <c r="AO5" s="9">
        <f>(LN(RawData!AO6)-LN(RawData!AO5))*100</f>
        <v>15.445592204975966</v>
      </c>
      <c r="AP5" s="9">
        <f>(LN(RawData!AP6)-LN(RawData!AP5))*100</f>
        <v>3.6335539694746899</v>
      </c>
      <c r="AQ5" s="9">
        <f>(LN(RawData!AQ6)-LN(RawData!AQ5))*100</f>
        <v>18.063639516730845</v>
      </c>
      <c r="AR5" s="9">
        <f>(LN(RawData!AR6)-LN(RawData!AR5))*100</f>
        <v>10.429331658617969</v>
      </c>
      <c r="AS5" s="9">
        <f>(LN(RawData!AS6)-LN(RawData!AS5))*100</f>
        <v>7.4412821954531694</v>
      </c>
      <c r="AT5" s="9">
        <f>(LN(RawData!AT6)-LN(RawData!AT5))*100</f>
        <v>12.490732165615981</v>
      </c>
      <c r="AU5" s="9">
        <f>(LN(RawData!AU6)-LN(RawData!AU5))*100</f>
        <v>38.148154046919913</v>
      </c>
      <c r="AV5" s="9">
        <f>(LN(RawData!AV6)-LN(RawData!AV5))*100</f>
        <v>6.2483805844046003</v>
      </c>
      <c r="AW5" s="9">
        <f>(LN(RawData!AW6)-LN(RawData!AW5))*100</f>
        <v>31.016384609311132</v>
      </c>
      <c r="AX5" s="9">
        <f>(LN(RawData!AX6)-LN(RawData!AX5))*100</f>
        <v>3.8766407872966369</v>
      </c>
      <c r="AY5" s="9">
        <f>(LN(RawData!AY6)-LN(RawData!AY5))*100</f>
        <v>1.7761188271581574</v>
      </c>
      <c r="AZ5" s="9">
        <f>(LN(RawData!AZ6)-LN(RawData!AZ5))*100</f>
        <v>4.9653329438992699</v>
      </c>
      <c r="BA5" s="9">
        <f>(LN(RawData!BA6)-LN(RawData!BA5))*100</f>
        <v>3.2281953658404916</v>
      </c>
      <c r="BB5" s="9">
        <f>(LN(RawData!BB6)-LN(RawData!BB5))*100</f>
        <v>1.6861515519195791</v>
      </c>
      <c r="BC5" s="9">
        <f>(LN(RawData!BC6)-LN(RawData!BC5))*100</f>
        <v>7.2070467771128577</v>
      </c>
    </row>
    <row r="6" spans="1:55" ht="15" customHeight="1" x14ac:dyDescent="0.2">
      <c r="A6" s="8">
        <v>2003</v>
      </c>
      <c r="B6" s="9">
        <f>(LN(RawData!B7)-LN(RawData!B6))*100</f>
        <v>18.448798651564147</v>
      </c>
      <c r="C6" s="9">
        <f>(LN(RawData!C7)-LN(RawData!C6))*100</f>
        <v>8.4681538984838767</v>
      </c>
      <c r="D6" s="9">
        <f>(LN(RawData!D7)-LN(RawData!D6))*100</f>
        <v>23.682599380367719</v>
      </c>
      <c r="E6" s="9">
        <f>(LN(RawData!E7)-LN(RawData!E6))*100</f>
        <v>5.9858051225269548</v>
      </c>
      <c r="F6" s="9">
        <f>(LN(RawData!F7)-LN(RawData!F6))*100</f>
        <v>3.0438872940028006</v>
      </c>
      <c r="G6" s="9">
        <f>(LN(RawData!G7)-LN(RawData!G6))*100</f>
        <v>9.9859056937708246</v>
      </c>
      <c r="H6" s="9">
        <f>(LN(RawData!H7)-LN(RawData!H6))*100</f>
        <v>14.317008441190282</v>
      </c>
      <c r="I6" s="9">
        <f>(LN(RawData!I7)-LN(RawData!I6))*100</f>
        <v>1.134370617206315</v>
      </c>
      <c r="J6" s="9">
        <f>(LN(RawData!J7)-LN(RawData!J6))*100</f>
        <v>14.251717525338492</v>
      </c>
      <c r="K6" s="9">
        <f>(LN(RawData!K7)-LN(RawData!K6))*100</f>
        <v>4.9883137209462802</v>
      </c>
      <c r="L6" s="9">
        <f>(LN(RawData!L7)-LN(RawData!L6))*100</f>
        <v>1.790263850758933</v>
      </c>
      <c r="M6" s="9">
        <f>(LN(RawData!M7)-LN(RawData!M6))*100</f>
        <v>5.7998939228182778</v>
      </c>
      <c r="N6" s="9">
        <f>(LN(RawData!N7)-LN(RawData!N6))*100</f>
        <v>12.135456988796633</v>
      </c>
      <c r="O6" s="9">
        <f>(LN(RawData!O7)-LN(RawData!O6))*100</f>
        <v>9.5655851698722927</v>
      </c>
      <c r="P6" s="9">
        <f>(LN(RawData!P7)-LN(RawData!P6))*100</f>
        <v>18.251355880611086</v>
      </c>
      <c r="Q6" s="9">
        <f>(LN(RawData!Q7)-LN(RawData!Q6))*100</f>
        <v>2.6620845918881031</v>
      </c>
      <c r="R6" s="9">
        <f>(LN(RawData!R7)-LN(RawData!R6))*100</f>
        <v>0.81979126677786951</v>
      </c>
      <c r="S6" s="9">
        <f>(LN(RawData!S7)-LN(RawData!S6))*100</f>
        <v>7.4032367314437408</v>
      </c>
      <c r="T6" s="9">
        <f>(LN(RawData!T7)-LN(RawData!T6))*100</f>
        <v>0.6100220972086845</v>
      </c>
      <c r="U6" s="9">
        <f>(LN(RawData!U7)-LN(RawData!U6))*100</f>
        <v>-0.70257900244072857</v>
      </c>
      <c r="V6" s="9">
        <f>(LN(RawData!V7)-LN(RawData!V6))*100</f>
        <v>7.4032367314437408</v>
      </c>
      <c r="W6" s="9">
        <f>(LN(RawData!W7)-LN(RawData!W6))*100</f>
        <v>11.361617295598592</v>
      </c>
      <c r="X6" s="9">
        <f>(LN(RawData!X7)-LN(RawData!X6))*100</f>
        <v>7.5667440683762521</v>
      </c>
      <c r="Y6" s="9">
        <f>(LN(RawData!Y7)-LN(RawData!Y6))*100</f>
        <v>12.239473801751899</v>
      </c>
      <c r="Z6" s="9">
        <f>(LN(RawData!Z7)-LN(RawData!Z6))*100</f>
        <v>10.011785554898722</v>
      </c>
      <c r="AA6" s="9">
        <f>(LN(RawData!AA7)-LN(RawData!AA6))*100</f>
        <v>4.6696250831367081</v>
      </c>
      <c r="AB6" s="9">
        <f>(LN(RawData!AB7)-LN(RawData!AB6))*100</f>
        <v>6.2251682408909659</v>
      </c>
      <c r="AC6" s="9">
        <f>(LN(RawData!AC7)-LN(RawData!AC6))*100</f>
        <v>3.2378110929030868</v>
      </c>
      <c r="AD6" s="9">
        <f>(LN(RawData!AD7)-LN(RawData!AD6))*100</f>
        <v>0.13853089241173677</v>
      </c>
      <c r="AE6" s="9">
        <f>(LN(RawData!AE7)-LN(RawData!AE6))*100</f>
        <v>7.4032367314437408</v>
      </c>
      <c r="AF6" s="9">
        <f>(LN(RawData!AF7)-LN(RawData!AF6))*100</f>
        <v>-9.7305804545300134E-2</v>
      </c>
      <c r="AG6" s="9">
        <f>(LN(RawData!AG7)-LN(RawData!AG6))*100</f>
        <v>1.5234616659725475</v>
      </c>
      <c r="AH6" s="9">
        <f>(LN(RawData!AH7)-LN(RawData!AH6))*100</f>
        <v>0.97752312778034423</v>
      </c>
      <c r="AI6" s="9">
        <f>(LN(RawData!AI7)-LN(RawData!AI6))*100</f>
        <v>5.3691935260534507</v>
      </c>
      <c r="AJ6" s="9">
        <f>(LN(RawData!AJ7)-LN(RawData!AJ6))*100</f>
        <v>1.1785723381393609</v>
      </c>
      <c r="AK6" s="9">
        <f>(LN(RawData!AK7)-LN(RawData!AK6))*100</f>
        <v>6.4778022955106707</v>
      </c>
      <c r="AL6" s="9">
        <f>(LN(RawData!AL7)-LN(RawData!AL6))*100</f>
        <v>19.847417826543889</v>
      </c>
      <c r="AM6" s="9">
        <f>(LN(RawData!AM7)-LN(RawData!AM6))*100</f>
        <v>7.0458019522476434</v>
      </c>
      <c r="AN6" s="9">
        <f>(LN(RawData!AN7)-LN(RawData!AN6))*100</f>
        <v>32.688550636500224</v>
      </c>
      <c r="AO6" s="9">
        <f>(LN(RawData!AO7)-LN(RawData!AO6))*100</f>
        <v>9.105984125905664</v>
      </c>
      <c r="AP6" s="9">
        <f>(LN(RawData!AP7)-LN(RawData!AP6))*100</f>
        <v>2.9064267042684833</v>
      </c>
      <c r="AQ6" s="9">
        <f>(LN(RawData!AQ7)-LN(RawData!AQ6))*100</f>
        <v>13.073467030959662</v>
      </c>
      <c r="AR6" s="9">
        <f>(LN(RawData!AR7)-LN(RawData!AR6))*100</f>
        <v>6.4905947348833593</v>
      </c>
      <c r="AS6" s="9">
        <f>(LN(RawData!AS7)-LN(RawData!AS6))*100</f>
        <v>3.0987792338343922</v>
      </c>
      <c r="AT6" s="9">
        <f>(LN(RawData!AT7)-LN(RawData!AT6))*100</f>
        <v>7.8265384010048678</v>
      </c>
      <c r="AU6" s="9">
        <f>(LN(RawData!AU7)-LN(RawData!AU6))*100</f>
        <v>26.539579021385151</v>
      </c>
      <c r="AV6" s="9">
        <f>(LN(RawData!AV7)-LN(RawData!AV6))*100</f>
        <v>5.6032504203340494</v>
      </c>
      <c r="AW6" s="9">
        <f>(LN(RawData!AW7)-LN(RawData!AW6))*100</f>
        <v>16.584326140530159</v>
      </c>
      <c r="AX6" s="9">
        <f>(LN(RawData!AX7)-LN(RawData!AX6))*100</f>
        <v>5.4626803559425952</v>
      </c>
      <c r="AY6" s="9">
        <f>(LN(RawData!AY7)-LN(RawData!AY6))*100</f>
        <v>3.0980824943270591</v>
      </c>
      <c r="AZ6" s="9">
        <f>(LN(RawData!AZ7)-LN(RawData!AZ6))*100</f>
        <v>5.8493195944770093</v>
      </c>
      <c r="BA6" s="9">
        <f>(LN(RawData!BA7)-LN(RawData!BA6))*100</f>
        <v>4.7123201561955597</v>
      </c>
      <c r="BB6" s="9">
        <f>(LN(RawData!BB7)-LN(RawData!BB6))*100</f>
        <v>2.7572422596904289</v>
      </c>
      <c r="BC6" s="9">
        <f>(LN(RawData!BC7)-LN(RawData!BC6))*100</f>
        <v>6.7244543336183682</v>
      </c>
    </row>
    <row r="7" spans="1:55" ht="15" customHeight="1" x14ac:dyDescent="0.2">
      <c r="A7" s="8">
        <v>2004</v>
      </c>
      <c r="B7" s="9">
        <f>(LN(RawData!B8)-LN(RawData!B7))*100</f>
        <v>25.503795465096957</v>
      </c>
      <c r="C7" s="9">
        <f>(LN(RawData!C8)-LN(RawData!C7))*100</f>
        <v>8.6448974127030453</v>
      </c>
      <c r="D7" s="9">
        <f>(LN(RawData!D8)-LN(RawData!D7))*100</f>
        <v>27.505302183103808</v>
      </c>
      <c r="E7" s="9">
        <f>(LN(RawData!E8)-LN(RawData!E7))*100</f>
        <v>7.3186572213849388</v>
      </c>
      <c r="F7" s="9">
        <f>(LN(RawData!F8)-LN(RawData!F7))*100</f>
        <v>4.1375329982773934</v>
      </c>
      <c r="G7" s="9">
        <f>(LN(RawData!G8)-LN(RawData!G7))*100</f>
        <v>9.9172467770481276</v>
      </c>
      <c r="H7" s="9">
        <f>(LN(RawData!H8)-LN(RawData!H7))*100</f>
        <v>13.066452396773443</v>
      </c>
      <c r="I7" s="9">
        <f>(LN(RawData!I8)-LN(RawData!I7))*100</f>
        <v>5.6001855742209727</v>
      </c>
      <c r="J7" s="9">
        <f>(LN(RawData!J8)-LN(RawData!J7))*100</f>
        <v>20.046259899416619</v>
      </c>
      <c r="K7" s="9">
        <f>(LN(RawData!K8)-LN(RawData!K7))*100</f>
        <v>6.2543493185593491</v>
      </c>
      <c r="L7" s="9">
        <f>(LN(RawData!L8)-LN(RawData!L7))*100</f>
        <v>3.0455136671708516</v>
      </c>
      <c r="M7" s="9">
        <f>(LN(RawData!M8)-LN(RawData!M7))*100</f>
        <v>8.6637309297069365</v>
      </c>
      <c r="N7" s="9">
        <f>(LN(RawData!N8)-LN(RawData!N7))*100</f>
        <v>16.355244958153747</v>
      </c>
      <c r="O7" s="9">
        <f>(LN(RawData!O8)-LN(RawData!O7))*100</f>
        <v>9.6342568322643984</v>
      </c>
      <c r="P7" s="9">
        <f>(LN(RawData!P8)-LN(RawData!P7))*100</f>
        <v>15.020543959565202</v>
      </c>
      <c r="Q7" s="9">
        <f>(LN(RawData!Q8)-LN(RawData!Q7))*100</f>
        <v>4.4001058253712699</v>
      </c>
      <c r="R7" s="9">
        <f>(LN(RawData!R8)-LN(RawData!R7))*100</f>
        <v>2.7904550533978778</v>
      </c>
      <c r="S7" s="9">
        <f>(LN(RawData!S8)-LN(RawData!S7))*100</f>
        <v>5.4880935314367107</v>
      </c>
      <c r="T7" s="9">
        <f>(LN(RawData!T8)-LN(RawData!T7))*100</f>
        <v>2.2776565782177016</v>
      </c>
      <c r="U7" s="9">
        <f>(LN(RawData!U8)-LN(RawData!U7))*100</f>
        <v>1.1682375854356053</v>
      </c>
      <c r="V7" s="9">
        <f>(LN(RawData!V8)-LN(RawData!V7))*100</f>
        <v>5.4880935314367107</v>
      </c>
      <c r="W7" s="9">
        <f>(LN(RawData!W8)-LN(RawData!W7))*100</f>
        <v>13.192234242890777</v>
      </c>
      <c r="X7" s="9">
        <f>(LN(RawData!X8)-LN(RawData!X7))*100</f>
        <v>7.6247236549345843</v>
      </c>
      <c r="Y7" s="9">
        <f>(LN(RawData!Y8)-LN(RawData!Y7))*100</f>
        <v>13.460285956513118</v>
      </c>
      <c r="Z7" s="9">
        <f>(LN(RawData!Z8)-LN(RawData!Z7))*100</f>
        <v>13.113156650224767</v>
      </c>
      <c r="AA7" s="9">
        <f>(LN(RawData!AA8)-LN(RawData!AA7))*100</f>
        <v>4.9084158519718812</v>
      </c>
      <c r="AB7" s="9">
        <f>(LN(RawData!AB8)-LN(RawData!AB7))*100</f>
        <v>6.9300477268868121</v>
      </c>
      <c r="AC7" s="9">
        <f>(LN(RawData!AC8)-LN(RawData!AC7))*100</f>
        <v>4.0487126472317669</v>
      </c>
      <c r="AD7" s="9">
        <f>(LN(RawData!AD8)-LN(RawData!AD7))*100</f>
        <v>1.4135562107977506</v>
      </c>
      <c r="AE7" s="9">
        <f>(LN(RawData!AE8)-LN(RawData!AE7))*100</f>
        <v>5.4880935314367107</v>
      </c>
      <c r="AF7" s="9">
        <f>(LN(RawData!AF8)-LN(RawData!AF7))*100</f>
        <v>1.0314230967907179</v>
      </c>
      <c r="AG7" s="9">
        <f>(LN(RawData!AG8)-LN(RawData!AG7))*100</f>
        <v>2.1625628290465215</v>
      </c>
      <c r="AH7" s="9">
        <f>(LN(RawData!AH8)-LN(RawData!AH7))*100</f>
        <v>1.0852327285348906</v>
      </c>
      <c r="AI7" s="9">
        <f>(LN(RawData!AI8)-LN(RawData!AI7))*100</f>
        <v>11.308139427754682</v>
      </c>
      <c r="AJ7" s="9">
        <f>(LN(RawData!AJ8)-LN(RawData!AJ7))*100</f>
        <v>3.5033507197088198</v>
      </c>
      <c r="AK7" s="9">
        <f>(LN(RawData!AK8)-LN(RawData!AK7))*100</f>
        <v>7.1085360878058168</v>
      </c>
      <c r="AL7" s="9">
        <f>(LN(RawData!AL8)-LN(RawData!AL7))*100</f>
        <v>25.397112236723629</v>
      </c>
      <c r="AM7" s="9">
        <f>(LN(RawData!AM8)-LN(RawData!AM7))*100</f>
        <v>6.9525576356969765</v>
      </c>
      <c r="AN7" s="9">
        <f>(LN(RawData!AN8)-LN(RawData!AN7))*100</f>
        <v>30.525214066699569</v>
      </c>
      <c r="AO7" s="9">
        <f>(LN(RawData!AO8)-LN(RawData!AO7))*100</f>
        <v>10.320552774053127</v>
      </c>
      <c r="AP7" s="9">
        <f>(LN(RawData!AP8)-LN(RawData!AP7))*100</f>
        <v>4.4538853542995582</v>
      </c>
      <c r="AQ7" s="9">
        <f>(LN(RawData!AQ8)-LN(RawData!AQ7))*100</f>
        <v>12.476761371497602</v>
      </c>
      <c r="AR7" s="9">
        <f>(LN(RawData!AR8)-LN(RawData!AR7))*100</f>
        <v>8.1467905420261388</v>
      </c>
      <c r="AS7" s="9">
        <f>(LN(RawData!AS8)-LN(RawData!AS7))*100</f>
        <v>5.0668317080727832</v>
      </c>
      <c r="AT7" s="9">
        <f>(LN(RawData!AT8)-LN(RawData!AT7))*100</f>
        <v>5.933112249267225</v>
      </c>
      <c r="AU7" s="9">
        <f>(LN(RawData!AU8)-LN(RawData!AU7))*100</f>
        <v>21.059181517673053</v>
      </c>
      <c r="AV7" s="9">
        <f>(LN(RawData!AV8)-LN(RawData!AV7))*100</f>
        <v>9.345333319667759</v>
      </c>
      <c r="AW7" s="9">
        <f>(LN(RawData!AW8)-LN(RawData!AW7))*100</f>
        <v>21.097968657226218</v>
      </c>
      <c r="AX7" s="9">
        <f>(LN(RawData!AX8)-LN(RawData!AX7))*100</f>
        <v>4.9838847233424133</v>
      </c>
      <c r="AY7" s="9">
        <f>(LN(RawData!AY8)-LN(RawData!AY7))*100</f>
        <v>2.3975248508421032</v>
      </c>
      <c r="AZ7" s="9">
        <f>(LN(RawData!AZ8)-LN(RawData!AZ7))*100</f>
        <v>9.8306808112392119</v>
      </c>
      <c r="BA7" s="9">
        <f>(LN(RawData!BA8)-LN(RawData!BA7))*100</f>
        <v>6.4291577338618566</v>
      </c>
      <c r="BB7" s="9">
        <f>(LN(RawData!BB8)-LN(RawData!BB7))*100</f>
        <v>3.7755907118292242</v>
      </c>
      <c r="BC7" s="9">
        <f>(LN(RawData!BC8)-LN(RawData!BC7))*100</f>
        <v>4.6503443560823143</v>
      </c>
    </row>
    <row r="8" spans="1:55" ht="15" customHeight="1" x14ac:dyDescent="0.2">
      <c r="A8" s="8">
        <v>2005</v>
      </c>
      <c r="B8" s="9">
        <f>(LN(RawData!B9)-LN(RawData!B8))*100</f>
        <v>18.300833858754828</v>
      </c>
      <c r="C8" s="9">
        <f>(LN(RawData!C9)-LN(RawData!C8))*100</f>
        <v>8.4815851186977653</v>
      </c>
      <c r="D8" s="9">
        <f>(LN(RawData!D9)-LN(RawData!D8))*100</f>
        <v>19.061473328698142</v>
      </c>
      <c r="E8" s="9">
        <f>(LN(RawData!E9)-LN(RawData!E8))*100</f>
        <v>6.8595688463890525</v>
      </c>
      <c r="F8" s="9">
        <f>(LN(RawData!F9)-LN(RawData!F8))*100</f>
        <v>3.1054181242975432</v>
      </c>
      <c r="G8" s="9">
        <f>(LN(RawData!G9)-LN(RawData!G8))*100</f>
        <v>8.0070458428588509</v>
      </c>
      <c r="H8" s="9">
        <f>(LN(RawData!H9)-LN(RawData!H8))*100</f>
        <v>10.320001345044361</v>
      </c>
      <c r="I8" s="9">
        <f>(LN(RawData!I9)-LN(RawData!I8))*100</f>
        <v>3.1519326354729316</v>
      </c>
      <c r="J8" s="9">
        <f>(LN(RawData!J9)-LN(RawData!J8))*100</f>
        <v>15.256611878424664</v>
      </c>
      <c r="K8" s="9">
        <f>(LN(RawData!K9)-LN(RawData!K8))*100</f>
        <v>6.2290538047534483</v>
      </c>
      <c r="L8" s="9">
        <f>(LN(RawData!L9)-LN(RawData!L8))*100</f>
        <v>3.159996383286412</v>
      </c>
      <c r="M8" s="9">
        <f>(LN(RawData!M9)-LN(RawData!M8))*100</f>
        <v>9.3785044545807494</v>
      </c>
      <c r="N8" s="9">
        <f>(LN(RawData!N9)-LN(RawData!N8))*100</f>
        <v>14.620334154538739</v>
      </c>
      <c r="O8" s="9">
        <f>(LN(RawData!O9)-LN(RawData!O8))*100</f>
        <v>10.790859283912724</v>
      </c>
      <c r="P8" s="9">
        <f>(LN(RawData!P9)-LN(RawData!P8))*100</f>
        <v>14.98144244352666</v>
      </c>
      <c r="Q8" s="9">
        <f>(LN(RawData!Q9)-LN(RawData!Q8))*100</f>
        <v>3.5673728270641192</v>
      </c>
      <c r="R8" s="9">
        <f>(LN(RawData!R9)-LN(RawData!R8))*100</f>
        <v>1.6495399543423162</v>
      </c>
      <c r="S8" s="9">
        <f>(LN(RawData!S9)-LN(RawData!S8))*100</f>
        <v>7.3731335065101433</v>
      </c>
      <c r="T8" s="9">
        <f>(LN(RawData!T9)-LN(RawData!T8))*100</f>
        <v>1.1334317518286952</v>
      </c>
      <c r="U8" s="9">
        <f>(LN(RawData!U9)-LN(RawData!U8))*100</f>
        <v>0.72904317386424111</v>
      </c>
      <c r="V8" s="9">
        <f>(LN(RawData!V9)-LN(RawData!V8))*100</f>
        <v>7.3731335065101433</v>
      </c>
      <c r="W8" s="9">
        <f>(LN(RawData!W9)-LN(RawData!W8))*100</f>
        <v>13.094739500896679</v>
      </c>
      <c r="X8" s="9">
        <f>(LN(RawData!X9)-LN(RawData!X8))*100</f>
        <v>7.6251813966976556</v>
      </c>
      <c r="Y8" s="9">
        <f>(LN(RawData!Y9)-LN(RawData!Y8))*100</f>
        <v>13.920331120081642</v>
      </c>
      <c r="Z8" s="9">
        <f>(LN(RawData!Z9)-LN(RawData!Z8))*100</f>
        <v>18.929887184464889</v>
      </c>
      <c r="AA8" s="9">
        <f>(LN(RawData!AA9)-LN(RawData!AA8))*100</f>
        <v>5.5364423459081991</v>
      </c>
      <c r="AB8" s="9">
        <f>(LN(RawData!AB9)-LN(RawData!AB8))*100</f>
        <v>12.191733635031454</v>
      </c>
      <c r="AC8" s="9">
        <f>(LN(RawData!AC9)-LN(RawData!AC8))*100</f>
        <v>2.8051357896107021</v>
      </c>
      <c r="AD8" s="9">
        <f>(LN(RawData!AD9)-LN(RawData!AD8))*100</f>
        <v>0.81452271248707575</v>
      </c>
      <c r="AE8" s="9">
        <f>(LN(RawData!AE9)-LN(RawData!AE8))*100</f>
        <v>7.3731335065101433</v>
      </c>
      <c r="AF8" s="9">
        <f>(LN(RawData!AF9)-LN(RawData!AF8))*100</f>
        <v>0.58662030997851389</v>
      </c>
      <c r="AG8" s="9">
        <f>(LN(RawData!AG9)-LN(RawData!AG8))*100</f>
        <v>1.7878236375253209</v>
      </c>
      <c r="AH8" s="9">
        <f>(LN(RawData!AH9)-LN(RawData!AH8))*100</f>
        <v>0.49310761880327902</v>
      </c>
      <c r="AI8" s="9">
        <f>(LN(RawData!AI9)-LN(RawData!AI8))*100</f>
        <v>7.8095527910392093</v>
      </c>
      <c r="AJ8" s="9">
        <f>(LN(RawData!AJ9)-LN(RawData!AJ8))*100</f>
        <v>2.0912277346617714</v>
      </c>
      <c r="AK8" s="9">
        <f>(LN(RawData!AK9)-LN(RawData!AK8))*100</f>
        <v>8.7407579600903063</v>
      </c>
      <c r="AL8" s="9">
        <f>(LN(RawData!AL9)-LN(RawData!AL8))*100</f>
        <v>23.833378986165954</v>
      </c>
      <c r="AM8" s="9">
        <f>(LN(RawData!AM9)-LN(RawData!AM8))*100</f>
        <v>6.2035066182506426</v>
      </c>
      <c r="AN8" s="9">
        <f>(LN(RawData!AN9)-LN(RawData!AN8))*100</f>
        <v>29.093870042003367</v>
      </c>
      <c r="AO8" s="9">
        <f>(LN(RawData!AO9)-LN(RawData!AO8))*100</f>
        <v>10.58851478321543</v>
      </c>
      <c r="AP8" s="9">
        <f>(LN(RawData!AP9)-LN(RawData!AP8))*100</f>
        <v>5.1425279420211467</v>
      </c>
      <c r="AQ8" s="9">
        <f>(LN(RawData!AQ9)-LN(RawData!AQ8))*100</f>
        <v>15.200708069938784</v>
      </c>
      <c r="AR8" s="9">
        <f>(LN(RawData!AR9)-LN(RawData!AR8))*100</f>
        <v>5.2543240500945387</v>
      </c>
      <c r="AS8" s="9">
        <f>(LN(RawData!AS9)-LN(RawData!AS8))*100</f>
        <v>4.2183077881382758</v>
      </c>
      <c r="AT8" s="9">
        <f>(LN(RawData!AT9)-LN(RawData!AT8))*100</f>
        <v>6.7744539628151301</v>
      </c>
      <c r="AU8" s="9">
        <f>(LN(RawData!AU9)-LN(RawData!AU8))*100</f>
        <v>15.456370843148903</v>
      </c>
      <c r="AV8" s="9">
        <f>(LN(RawData!AV9)-LN(RawData!AV8))*100</f>
        <v>8.6107096833973884</v>
      </c>
      <c r="AW8" s="9">
        <f>(LN(RawData!AW9)-LN(RawData!AW8))*100</f>
        <v>19.197749238102801</v>
      </c>
      <c r="AX8" s="9">
        <f>(LN(RawData!AX9)-LN(RawData!AX8))*100</f>
        <v>5.5950794652215308</v>
      </c>
      <c r="AY8" s="9">
        <f>(LN(RawData!AY9)-LN(RawData!AY8))*100</f>
        <v>2.7020071747895003</v>
      </c>
      <c r="AZ8" s="9">
        <f>(LN(RawData!AZ9)-LN(RawData!AZ8))*100</f>
        <v>9.7646323132062562</v>
      </c>
      <c r="BA8" s="9">
        <f>(LN(RawData!BA9)-LN(RawData!BA8))*100</f>
        <v>6.5115507336095391</v>
      </c>
      <c r="BB8" s="9">
        <f>(LN(RawData!BB9)-LN(RawData!BB8))*100</f>
        <v>3.4242476287730028</v>
      </c>
      <c r="BC8" s="9">
        <f>(LN(RawData!BC9)-LN(RawData!BC8))*100</f>
        <v>4.1592859250959791</v>
      </c>
    </row>
    <row r="9" spans="1:55" ht="15" customHeight="1" x14ac:dyDescent="0.2">
      <c r="A9" s="8">
        <v>2006</v>
      </c>
      <c r="B9" s="9">
        <f>(LN(RawData!B10)-LN(RawData!B9))*100</f>
        <v>20.615174311095075</v>
      </c>
      <c r="C9" s="9">
        <f>(LN(RawData!C10)-LN(RawData!C9))*100</f>
        <v>7.7397533826282228</v>
      </c>
      <c r="D9" s="9">
        <f>(LN(RawData!D10)-LN(RawData!D9))*100</f>
        <v>20.791183187627382</v>
      </c>
      <c r="E9" s="9">
        <f>(LN(RawData!E10)-LN(RawData!E9))*100</f>
        <v>7.7068731623686659</v>
      </c>
      <c r="F9" s="9">
        <f>(LN(RawData!F10)-LN(RawData!F9))*100</f>
        <v>2.7180230464995958</v>
      </c>
      <c r="G9" s="9">
        <f>(LN(RawData!G10)-LN(RawData!G9))*100</f>
        <v>10.413998818667558</v>
      </c>
      <c r="H9" s="9">
        <f>(LN(RawData!H10)-LN(RawData!H9))*100</f>
        <v>10.440198567074432</v>
      </c>
      <c r="I9" s="9">
        <f>(LN(RawData!I10)-LN(RawData!I9))*100</f>
        <v>3.8855153183089186</v>
      </c>
      <c r="J9" s="9">
        <f>(LN(RawData!J10)-LN(RawData!J9))*100</f>
        <v>16.677452996657749</v>
      </c>
      <c r="K9" s="9">
        <f>(LN(RawData!K10)-LN(RawData!K9))*100</f>
        <v>5.1414490808092239</v>
      </c>
      <c r="L9" s="9">
        <f>(LN(RawData!L10)-LN(RawData!L9))*100</f>
        <v>2.6037500997141194</v>
      </c>
      <c r="M9" s="9">
        <f>(LN(RawData!M10)-LN(RawData!M9))*100</f>
        <v>7.2028528458305985</v>
      </c>
      <c r="N9" s="9">
        <f>(LN(RawData!N10)-LN(RawData!N9))*100</f>
        <v>15.825936762398385</v>
      </c>
      <c r="O9" s="9">
        <f>(LN(RawData!O10)-LN(RawData!O9))*100</f>
        <v>11.97451597903374</v>
      </c>
      <c r="P9" s="9">
        <f>(LN(RawData!P10)-LN(RawData!P9))*100</f>
        <v>15.421449755692151</v>
      </c>
      <c r="Q9" s="9">
        <f>(LN(RawData!Q10)-LN(RawData!Q9))*100</f>
        <v>4.5522372987782944</v>
      </c>
      <c r="R9" s="9">
        <f>(LN(RawData!R10)-LN(RawData!R9))*100</f>
        <v>2.4198086440943456</v>
      </c>
      <c r="S9" s="9">
        <f>(LN(RawData!S10)-LN(RawData!S9))*100</f>
        <v>8.3255594599764393</v>
      </c>
      <c r="T9" s="9">
        <f>(LN(RawData!T10)-LN(RawData!T9))*100</f>
        <v>4.1419112904524269</v>
      </c>
      <c r="U9" s="9">
        <f>(LN(RawData!U10)-LN(RawData!U9))*100</f>
        <v>3.745417213220037</v>
      </c>
      <c r="V9" s="9">
        <f>(LN(RawData!V10)-LN(RawData!V9))*100</f>
        <v>8.3255594599764393</v>
      </c>
      <c r="W9" s="9">
        <f>(LN(RawData!W10)-LN(RawData!W9))*100</f>
        <v>15.818977983165539</v>
      </c>
      <c r="X9" s="9">
        <f>(LN(RawData!X10)-LN(RawData!X9))*100</f>
        <v>7.7523221709554946</v>
      </c>
      <c r="Y9" s="9">
        <f>(LN(RawData!Y10)-LN(RawData!Y9))*100</f>
        <v>17.222314517303516</v>
      </c>
      <c r="Z9" s="9">
        <f>(LN(RawData!Z10)-LN(RawData!Z9))*100</f>
        <v>18.534463790062716</v>
      </c>
      <c r="AA9" s="9">
        <f>(LN(RawData!AA10)-LN(RawData!AA9))*100</f>
        <v>5.3549788549617006</v>
      </c>
      <c r="AB9" s="9">
        <f>(LN(RawData!AB10)-LN(RawData!AB9))*100</f>
        <v>14.375422988523923</v>
      </c>
      <c r="AC9" s="9">
        <f>(LN(RawData!AC10)-LN(RawData!AC9))*100</f>
        <v>3.8773902510005342</v>
      </c>
      <c r="AD9" s="9">
        <f>(LN(RawData!AD10)-LN(RawData!AD9))*100</f>
        <v>1.7747965775285479</v>
      </c>
      <c r="AE9" s="9">
        <f>(LN(RawData!AE10)-LN(RawData!AE9))*100</f>
        <v>8.3255594599764393</v>
      </c>
      <c r="AF9" s="9">
        <f>(LN(RawData!AF10)-LN(RawData!AF9))*100</f>
        <v>0.49726342151217295</v>
      </c>
      <c r="AG9" s="9">
        <f>(LN(RawData!AG10)-LN(RawData!AG9))*100</f>
        <v>1.363018679754191</v>
      </c>
      <c r="AH9" s="9">
        <f>(LN(RawData!AH10)-LN(RawData!AH9))*100</f>
        <v>-0.32188922981397639</v>
      </c>
      <c r="AI9" s="9">
        <f>(LN(RawData!AI10)-LN(RawData!AI9))*100</f>
        <v>10.621071134959692</v>
      </c>
      <c r="AJ9" s="9">
        <f>(LN(RawData!AJ10)-LN(RawData!AJ9))*100</f>
        <v>4.6931423757165192</v>
      </c>
      <c r="AK9" s="9">
        <f>(LN(RawData!AK10)-LN(RawData!AK9))*100</f>
        <v>16.206895880557504</v>
      </c>
      <c r="AL9" s="9">
        <f>(LN(RawData!AL10)-LN(RawData!AL9))*100</f>
        <v>21.962022006918858</v>
      </c>
      <c r="AM9" s="9">
        <f>(LN(RawData!AM10)-LN(RawData!AM9))*100</f>
        <v>7.8811811242605501</v>
      </c>
      <c r="AN9" s="9">
        <f>(LN(RawData!AN10)-LN(RawData!AN9))*100</f>
        <v>31.301901529583454</v>
      </c>
      <c r="AO9" s="9">
        <f>(LN(RawData!AO10)-LN(RawData!AO9))*100</f>
        <v>11.340273608475826</v>
      </c>
      <c r="AP9" s="9">
        <f>(LN(RawData!AP10)-LN(RawData!AP9))*100</f>
        <v>5.4524230647295724</v>
      </c>
      <c r="AQ9" s="9">
        <f>(LN(RawData!AQ10)-LN(RawData!AQ9))*100</f>
        <v>20.784140829927189</v>
      </c>
      <c r="AR9" s="9">
        <f>(LN(RawData!AR10)-LN(RawData!AR9))*100</f>
        <v>4.9069946324280522</v>
      </c>
      <c r="AS9" s="9">
        <f>(LN(RawData!AS10)-LN(RawData!AS9))*100</f>
        <v>5.1304396975261568</v>
      </c>
      <c r="AT9" s="9">
        <f>(LN(RawData!AT10)-LN(RawData!AT9))*100</f>
        <v>7.867916397245267</v>
      </c>
      <c r="AU9" s="9">
        <f>(LN(RawData!AU10)-LN(RawData!AU9))*100</f>
        <v>15.679562587390805</v>
      </c>
      <c r="AV9" s="9">
        <f>(LN(RawData!AV10)-LN(RawData!AV9))*100</f>
        <v>6.7172437635658611</v>
      </c>
      <c r="AW9" s="9">
        <f>(LN(RawData!AW10)-LN(RawData!AW9))*100</f>
        <v>23.18684144303802</v>
      </c>
      <c r="AX9" s="9">
        <f>(LN(RawData!AX10)-LN(RawData!AX9))*100</f>
        <v>5.1069569471167142</v>
      </c>
      <c r="AY9" s="9">
        <f>(LN(RawData!AY10)-LN(RawData!AY9))*100</f>
        <v>2.3582488024480597</v>
      </c>
      <c r="AZ9" s="9">
        <f>(LN(RawData!AZ10)-LN(RawData!AZ9))*100</f>
        <v>11.956181727845561</v>
      </c>
      <c r="BA9" s="9">
        <f>(LN(RawData!BA10)-LN(RawData!BA9))*100</f>
        <v>5.7837183143863768</v>
      </c>
      <c r="BB9" s="9">
        <f>(LN(RawData!BB10)-LN(RawData!BB9))*100</f>
        <v>2.7464763109847468</v>
      </c>
      <c r="BC9" s="9">
        <f>(LN(RawData!BC10)-LN(RawData!BC9))*100</f>
        <v>5.1180904326129095</v>
      </c>
    </row>
    <row r="10" spans="1:55" ht="16" x14ac:dyDescent="0.2">
      <c r="A10" s="8">
        <v>2007</v>
      </c>
      <c r="B10" s="9">
        <f>(LN(RawData!B11)-LN(RawData!B10))*100</f>
        <v>22.548730008275797</v>
      </c>
      <c r="C10" s="9">
        <f>(LN(RawData!C11)-LN(RawData!C10))*100</f>
        <v>8.6247885291939497</v>
      </c>
      <c r="D10" s="9">
        <f>(LN(RawData!D11)-LN(RawData!D10))*100</f>
        <v>21.854831374281503</v>
      </c>
      <c r="E10" s="9">
        <f>(LN(RawData!E11)-LN(RawData!E10))*100</f>
        <v>8.5696050157974213</v>
      </c>
      <c r="F10" s="9">
        <f>(LN(RawData!F11)-LN(RawData!F10))*100</f>
        <v>3.7039419332760559</v>
      </c>
      <c r="G10" s="9">
        <f>(LN(RawData!G11)-LN(RawData!G10))*100</f>
        <v>16.015781620798464</v>
      </c>
      <c r="H10" s="9">
        <f>(LN(RawData!H11)-LN(RawData!H10))*100</f>
        <v>12.133007058593037</v>
      </c>
      <c r="I10" s="9">
        <f>(LN(RawData!I11)-LN(RawData!I10))*100</f>
        <v>5.892784764340675</v>
      </c>
      <c r="J10" s="9">
        <f>(LN(RawData!J11)-LN(RawData!J10))*100</f>
        <v>15.024021803403897</v>
      </c>
      <c r="K10" s="9">
        <f>(LN(RawData!K11)-LN(RawData!K10))*100</f>
        <v>5.2764240795642792</v>
      </c>
      <c r="L10" s="9">
        <f>(LN(RawData!L11)-LN(RawData!L10))*100</f>
        <v>2.0291768540133148</v>
      </c>
      <c r="M10" s="9">
        <f>(LN(RawData!M11)-LN(RawData!M10))*100</f>
        <v>10.380597751010434</v>
      </c>
      <c r="N10" s="9">
        <f>(LN(RawData!N11)-LN(RawData!N10))*100</f>
        <v>20.769194398320323</v>
      </c>
      <c r="O10" s="9">
        <f>(LN(RawData!O11)-LN(RawData!O10))*100</f>
        <v>13.305131056903363</v>
      </c>
      <c r="P10" s="9">
        <f>(LN(RawData!P11)-LN(RawData!P10))*100</f>
        <v>16.170945616764598</v>
      </c>
      <c r="Q10" s="9">
        <f>(LN(RawData!Q11)-LN(RawData!Q10))*100</f>
        <v>4.9203078557543023</v>
      </c>
      <c r="R10" s="9">
        <f>(LN(RawData!R11)-LN(RawData!R10))*100</f>
        <v>2.3958062321909779</v>
      </c>
      <c r="S10" s="9">
        <f>(LN(RawData!S11)-LN(RawData!S10))*100</f>
        <v>10.624204071296539</v>
      </c>
      <c r="T10" s="9">
        <f>(LN(RawData!T11)-LN(RawData!T10))*100</f>
        <v>4.6878048917520232</v>
      </c>
      <c r="U10" s="9">
        <f>(LN(RawData!U11)-LN(RawData!U10))*100</f>
        <v>2.9330185152549149</v>
      </c>
      <c r="V10" s="9">
        <f>(LN(RawData!V11)-LN(RawData!V10))*100</f>
        <v>10.624204071296539</v>
      </c>
      <c r="W10" s="9">
        <f>(LN(RawData!W11)-LN(RawData!W10))*100</f>
        <v>14.095455579258243</v>
      </c>
      <c r="X10" s="9">
        <f>(LN(RawData!X11)-LN(RawData!X10))*100</f>
        <v>7.3815497866672075</v>
      </c>
      <c r="Y10" s="9">
        <f>(LN(RawData!Y11)-LN(RawData!Y10))*100</f>
        <v>19.748477888433769</v>
      </c>
      <c r="Z10" s="9">
        <f>(LN(RawData!Z11)-LN(RawData!Z10))*100</f>
        <v>16.820539145921742</v>
      </c>
      <c r="AA10" s="9">
        <f>(LN(RawData!AA11)-LN(RawData!AA10))*100</f>
        <v>6.1518548992623323</v>
      </c>
      <c r="AB10" s="9">
        <f>(LN(RawData!AB11)-LN(RawData!AB10))*100</f>
        <v>14.788812309871702</v>
      </c>
      <c r="AC10" s="9">
        <f>(LN(RawData!AC11)-LN(RawData!AC10))*100</f>
        <v>3.924890705945927</v>
      </c>
      <c r="AD10" s="9">
        <f>(LN(RawData!AD11)-LN(RawData!AD10))*100</f>
        <v>1.4761244583468169</v>
      </c>
      <c r="AE10" s="9">
        <f>(LN(RawData!AE11)-LN(RawData!AE10))*100</f>
        <v>10.624204071296539</v>
      </c>
      <c r="AF10" s="9">
        <f>(LN(RawData!AF11)-LN(RawData!AF10))*100</f>
        <v>0.76532417472563452</v>
      </c>
      <c r="AG10" s="9">
        <f>(LN(RawData!AG11)-LN(RawData!AG10))*100</f>
        <v>1.4730663189233439</v>
      </c>
      <c r="AH10" s="9">
        <f>(LN(RawData!AH11)-LN(RawData!AH10))*100</f>
        <v>0.17489369019898504</v>
      </c>
      <c r="AI10" s="9">
        <f>(LN(RawData!AI11)-LN(RawData!AI10))*100</f>
        <v>8.0039476337820048</v>
      </c>
      <c r="AJ10" s="9">
        <f>(LN(RawData!AJ11)-LN(RawData!AJ10))*100</f>
        <v>2.0565707981802461</v>
      </c>
      <c r="AK10" s="9">
        <f>(LN(RawData!AK11)-LN(RawData!AK10))*100</f>
        <v>9.7266514999212461</v>
      </c>
      <c r="AL10" s="9">
        <f>(LN(RawData!AL11)-LN(RawData!AL10))*100</f>
        <v>21.121443563725961</v>
      </c>
      <c r="AM10" s="9">
        <f>(LN(RawData!AM11)-LN(RawData!AM10))*100</f>
        <v>8.1579782099915121</v>
      </c>
      <c r="AN10" s="9">
        <f>(LN(RawData!AN11)-LN(RawData!AN10))*100</f>
        <v>36.609538247162554</v>
      </c>
      <c r="AO10" s="9">
        <f>(LN(RawData!AO11)-LN(RawData!AO10))*100</f>
        <v>13.14514263765254</v>
      </c>
      <c r="AP10" s="9">
        <f>(LN(RawData!AP11)-LN(RawData!AP10))*100</f>
        <v>5.2217370809835018</v>
      </c>
      <c r="AQ10" s="9">
        <f>(LN(RawData!AQ11)-LN(RawData!AQ10))*100</f>
        <v>20.910833370384196</v>
      </c>
      <c r="AR10" s="9">
        <f>(LN(RawData!AR11)-LN(RawData!AR10))*100</f>
        <v>8.0280034580233917</v>
      </c>
      <c r="AS10" s="9">
        <f>(LN(RawData!AS11)-LN(RawData!AS10))*100</f>
        <v>5.6376065138074694</v>
      </c>
      <c r="AT10" s="9">
        <f>(LN(RawData!AT11)-LN(RawData!AT10))*100</f>
        <v>9.8051616743365599</v>
      </c>
      <c r="AU10" s="9">
        <f>(LN(RawData!AU11)-LN(RawData!AU10))*100</f>
        <v>10.935608560346211</v>
      </c>
      <c r="AV10" s="9">
        <f>(LN(RawData!AV11)-LN(RawData!AV10))*100</f>
        <v>4.9204439598572236</v>
      </c>
      <c r="AW10" s="9">
        <f>(LN(RawData!AW11)-LN(RawData!AW10))*100</f>
        <v>16.338711352924307</v>
      </c>
      <c r="AX10" s="9">
        <f>(LN(RawData!AX11)-LN(RawData!AX10))*100</f>
        <v>4.8141096097111813</v>
      </c>
      <c r="AY10" s="9">
        <f>(LN(RawData!AY11)-LN(RawData!AY10))*100</f>
        <v>2.5865887177765501</v>
      </c>
      <c r="AZ10" s="9">
        <f>(LN(RawData!AZ11)-LN(RawData!AZ10))*100</f>
        <v>12.640139172011899</v>
      </c>
      <c r="BA10" s="9">
        <f>(LN(RawData!BA11)-LN(RawData!BA10))*100</f>
        <v>4.6572530711795679</v>
      </c>
      <c r="BB10" s="9">
        <f>(LN(RawData!BB11)-LN(RawData!BB10))*100</f>
        <v>1.9840453034291272</v>
      </c>
      <c r="BC10" s="9">
        <f>(LN(RawData!BC11)-LN(RawData!BC10))*100</f>
        <v>5.9680178330903999</v>
      </c>
    </row>
    <row r="11" spans="1:55" ht="16" x14ac:dyDescent="0.2">
      <c r="A11" s="8">
        <v>2008</v>
      </c>
      <c r="B11" s="9">
        <f>(LN(RawData!B12)-LN(RawData!B11))*100</f>
        <v>24.817566732711427</v>
      </c>
      <c r="C11" s="9">
        <f>(LN(RawData!C12)-LN(RawData!C11))*100</f>
        <v>3.9770880086233973</v>
      </c>
      <c r="D11" s="9">
        <f>(LN(RawData!D12)-LN(RawData!D11))*100</f>
        <v>17.267459165929822</v>
      </c>
      <c r="E11" s="9">
        <f>(LN(RawData!E12)-LN(RawData!E11))*100</f>
        <v>7.9919018240097728</v>
      </c>
      <c r="F11" s="9">
        <f>(LN(RawData!F12)-LN(RawData!F11))*100</f>
        <v>3.5234200443376551</v>
      </c>
      <c r="G11" s="9">
        <f>(LN(RawData!G12)-LN(RawData!G11))*100</f>
        <v>17.843488815456965</v>
      </c>
      <c r="H11" s="9">
        <f>(LN(RawData!H12)-LN(RawData!H11))*100</f>
        <v>13.383086480790496</v>
      </c>
      <c r="I11" s="9">
        <f>(LN(RawData!I12)-LN(RawData!I11))*100</f>
        <v>4.96868615074888</v>
      </c>
      <c r="J11" s="9">
        <f>(LN(RawData!J12)-LN(RawData!J11))*100</f>
        <v>17.231246927385513</v>
      </c>
      <c r="K11" s="9">
        <f>(LN(RawData!K12)-LN(RawData!K11))*100</f>
        <v>4.909014156775271</v>
      </c>
      <c r="L11" s="9">
        <f>(LN(RawData!L12)-LN(RawData!L11))*100</f>
        <v>0.99048477395555778</v>
      </c>
      <c r="M11" s="9">
        <f>(LN(RawData!M12)-LN(RawData!M11))*100</f>
        <v>11.149850389658056</v>
      </c>
      <c r="N11" s="9">
        <f>(LN(RawData!N12)-LN(RawData!N11))*100</f>
        <v>16.719377990814976</v>
      </c>
      <c r="O11" s="9">
        <f>(LN(RawData!O12)-LN(RawData!O11))*100</f>
        <v>9.2129480551975007</v>
      </c>
      <c r="P11" s="9">
        <f>(LN(RawData!P12)-LN(RawData!P11))*100</f>
        <v>15.346070932641354</v>
      </c>
      <c r="Q11" s="9">
        <f>(LN(RawData!Q12)-LN(RawData!Q11))*100</f>
        <v>2.5941145625989037</v>
      </c>
      <c r="R11" s="9">
        <f>(LN(RawData!R12)-LN(RawData!R11))*100</f>
        <v>0.25462152421837914</v>
      </c>
      <c r="S11" s="9">
        <f>(LN(RawData!S12)-LN(RawData!S11))*100</f>
        <v>9.7733419022167922</v>
      </c>
      <c r="T11" s="9">
        <f>(LN(RawData!T12)-LN(RawData!T11))*100</f>
        <v>1.8605224704032253</v>
      </c>
      <c r="U11" s="9">
        <f>(LN(RawData!U12)-LN(RawData!U11))*100</f>
        <v>0.95530156325907001</v>
      </c>
      <c r="V11" s="9">
        <f>(LN(RawData!V12)-LN(RawData!V11))*100</f>
        <v>9.7733419022167922</v>
      </c>
      <c r="W11" s="9">
        <f>(LN(RawData!W12)-LN(RawData!W11))*100</f>
        <v>11.835582951300339</v>
      </c>
      <c r="X11" s="9">
        <f>(LN(RawData!X12)-LN(RawData!X11))*100</f>
        <v>3.0400176916870691</v>
      </c>
      <c r="Y11" s="9">
        <f>(LN(RawData!Y12)-LN(RawData!Y11))*100</f>
        <v>19.305066254770153</v>
      </c>
      <c r="Z11" s="9">
        <f>(LN(RawData!Z12)-LN(RawData!Z11))*100</f>
        <v>22.518089127460428</v>
      </c>
      <c r="AA11" s="9">
        <f>(LN(RawData!AA12)-LN(RawData!AA11))*100</f>
        <v>5.8398179006140083</v>
      </c>
      <c r="AB11" s="9">
        <f>(LN(RawData!AB12)-LN(RawData!AB11))*100</f>
        <v>15.157254537827924</v>
      </c>
      <c r="AC11" s="9">
        <f>(LN(RawData!AC12)-LN(RawData!AC11))*100</f>
        <v>1.4056695398121377</v>
      </c>
      <c r="AD11" s="9">
        <f>(LN(RawData!AD12)-LN(RawData!AD11))*100</f>
        <v>-0.96667007698307827</v>
      </c>
      <c r="AE11" s="9">
        <f>(LN(RawData!AE12)-LN(RawData!AE11))*100</f>
        <v>9.7733419022167922</v>
      </c>
      <c r="AF11" s="9">
        <f>(LN(RawData!AF12)-LN(RawData!AF11))*100</f>
        <v>-2.1475553000726677</v>
      </c>
      <c r="AG11" s="9">
        <f>(LN(RawData!AG12)-LN(RawData!AG11))*100</f>
        <v>-1.2318451546235565</v>
      </c>
      <c r="AH11" s="9">
        <f>(LN(RawData!AH12)-LN(RawData!AH11))*100</f>
        <v>0.74783985151789523</v>
      </c>
      <c r="AI11" s="9">
        <f>(LN(RawData!AI12)-LN(RawData!AI11))*100</f>
        <v>7.0581860725905443</v>
      </c>
      <c r="AJ11" s="9">
        <f>(LN(RawData!AJ12)-LN(RawData!AJ11))*100</f>
        <v>0.93891027311236996</v>
      </c>
      <c r="AK11" s="9">
        <f>(LN(RawData!AK12)-LN(RawData!AK11))*100</f>
        <v>13.447614197973046</v>
      </c>
      <c r="AL11" s="9">
        <f>(LN(RawData!AL12)-LN(RawData!AL11))*100</f>
        <v>21.632181622620905</v>
      </c>
      <c r="AM11" s="9">
        <f>(LN(RawData!AM12)-LN(RawData!AM11))*100</f>
        <v>5.0692822148644012</v>
      </c>
      <c r="AN11" s="9">
        <f>(LN(RawData!AN12)-LN(RawData!AN11))*100</f>
        <v>25.779096340844632</v>
      </c>
      <c r="AO11" s="9">
        <f>(LN(RawData!AO12)-LN(RawData!AO11))*100</f>
        <v>10.698614192085643</v>
      </c>
      <c r="AP11" s="9">
        <f>(LN(RawData!AP12)-LN(RawData!AP11))*100</f>
        <v>3.1411879246217467</v>
      </c>
      <c r="AQ11" s="9">
        <f>(LN(RawData!AQ12)-LN(RawData!AQ11))*100</f>
        <v>17.272767289778379</v>
      </c>
      <c r="AR11" s="9">
        <f>(LN(RawData!AR12)-LN(RawData!AR11))*100</f>
        <v>5.7555854288757757</v>
      </c>
      <c r="AS11" s="9">
        <f>(LN(RawData!AS12)-LN(RawData!AS11))*100</f>
        <v>2.9684861022126086</v>
      </c>
      <c r="AT11" s="9">
        <f>(LN(RawData!AT12)-LN(RawData!AT11))*100</f>
        <v>10.935337194378292</v>
      </c>
      <c r="AU11" s="9">
        <f>(LN(RawData!AU12)-LN(RawData!AU11))*100</f>
        <v>12.185789792858159</v>
      </c>
      <c r="AV11" s="9">
        <f>(LN(RawData!AV12)-LN(RawData!AV11))*100</f>
        <v>0.81172118454837516</v>
      </c>
      <c r="AW11" s="9">
        <f>(LN(RawData!AW12)-LN(RawData!AW11))*100</f>
        <v>17.861943016789184</v>
      </c>
      <c r="AX11" s="9">
        <f>(LN(RawData!AX12)-LN(RawData!AX11))*100</f>
        <v>3.1206676560213253</v>
      </c>
      <c r="AY11" s="9">
        <f>(LN(RawData!AY12)-LN(RawData!AY11))*100</f>
        <v>-0.22598212213011948</v>
      </c>
      <c r="AZ11" s="9">
        <f>(LN(RawData!AZ12)-LN(RawData!AZ11))*100</f>
        <v>13.646173687781982</v>
      </c>
      <c r="BA11" s="9">
        <f>(LN(RawData!BA12)-LN(RawData!BA11))*100</f>
        <v>2.0219064532813746</v>
      </c>
      <c r="BB11" s="9">
        <f>(LN(RawData!BB12)-LN(RawData!BB11))*100</f>
        <v>0.1135227867528954</v>
      </c>
      <c r="BC11" s="9">
        <f>(LN(RawData!BC12)-LN(RawData!BC11))*100</f>
        <v>6.5818819266491246</v>
      </c>
    </row>
    <row r="12" spans="1:55" ht="16" x14ac:dyDescent="0.2">
      <c r="A12" s="8">
        <v>2009</v>
      </c>
      <c r="B12" s="9">
        <f>(LN(RawData!B13)-LN(RawData!B12))*100</f>
        <v>8.2031445073326381</v>
      </c>
      <c r="C12" s="9">
        <f>(LN(RawData!C13)-LN(RawData!C12))*100</f>
        <v>-6.1009024625942487</v>
      </c>
      <c r="D12" s="9">
        <f>(LN(RawData!D13)-LN(RawData!D12))*100</f>
        <v>9.6780530518270069</v>
      </c>
      <c r="E12" s="9">
        <f>(LN(RawData!E13)-LN(RawData!E12))*100</f>
        <v>6.7054736024910966</v>
      </c>
      <c r="F12" s="9">
        <f>(LN(RawData!F13)-LN(RawData!F12))*100</f>
        <v>1.8748872375571324</v>
      </c>
      <c r="G12" s="9">
        <f>(LN(RawData!G13)-LN(RawData!G12))*100</f>
        <v>10.733736235373037</v>
      </c>
      <c r="H12" s="9">
        <f>(LN(RawData!H13)-LN(RawData!H12))*100</f>
        <v>6.9325198304117208</v>
      </c>
      <c r="I12" s="9">
        <f>(LN(RawData!I13)-LN(RawData!I12))*100</f>
        <v>-0.12589121190451635</v>
      </c>
      <c r="J12" s="9">
        <f>(LN(RawData!J13)-LN(RawData!J12))*100</f>
        <v>15.079550896934713</v>
      </c>
      <c r="K12" s="9">
        <f>(LN(RawData!K13)-LN(RawData!K12))*100</f>
        <v>-5.3107938051255132</v>
      </c>
      <c r="L12" s="9">
        <f>(LN(RawData!L13)-LN(RawData!L12))*100</f>
        <v>-2.9584190830654222</v>
      </c>
      <c r="M12" s="9">
        <f>(LN(RawData!M13)-LN(RawData!M12))*100</f>
        <v>3.1607356216319715</v>
      </c>
      <c r="N12" s="9">
        <f>(LN(RawData!N13)-LN(RawData!N12))*100</f>
        <v>8.7731523340814022</v>
      </c>
      <c r="O12" s="9">
        <f>(LN(RawData!O13)-LN(RawData!O12))*100</f>
        <v>8.9829055235387756</v>
      </c>
      <c r="P12" s="9">
        <f>(LN(RawData!P13)-LN(RawData!P12))*100</f>
        <v>23.540498958861278</v>
      </c>
      <c r="Q12" s="9">
        <f>(LN(RawData!Q13)-LN(RawData!Q12))*100</f>
        <v>-2.8487963713804021</v>
      </c>
      <c r="R12" s="9">
        <f>(LN(RawData!R13)-LN(RawData!R12))*100</f>
        <v>-2.9154016611816047</v>
      </c>
      <c r="S12" s="9">
        <f>(LN(RawData!S13)-LN(RawData!S12))*100</f>
        <v>3.3542933979610723</v>
      </c>
      <c r="T12" s="9">
        <f>(LN(RawData!T13)-LN(RawData!T12))*100</f>
        <v>-4.0372293504955081</v>
      </c>
      <c r="U12" s="9">
        <f>(LN(RawData!U13)-LN(RawData!U12))*100</f>
        <v>-5.8623636198408491</v>
      </c>
      <c r="V12" s="9">
        <f>(LN(RawData!V13)-LN(RawData!V12))*100</f>
        <v>3.3542933979610723</v>
      </c>
      <c r="W12" s="9">
        <f>(LN(RawData!W13)-LN(RawData!W12))*100</f>
        <v>14.371724005755127</v>
      </c>
      <c r="X12" s="9">
        <f>(LN(RawData!X13)-LN(RawData!X12))*100</f>
        <v>7.5681415661417617</v>
      </c>
      <c r="Y12" s="9">
        <f>(LN(RawData!Y13)-LN(RawData!Y12))*100</f>
        <v>18.213745175313889</v>
      </c>
      <c r="Z12" s="9">
        <f>(LN(RawData!Z13)-LN(RawData!Z12))*100</f>
        <v>12.475115733126785</v>
      </c>
      <c r="AA12" s="9">
        <f>(LN(RawData!AA13)-LN(RawData!AA12))*100</f>
        <v>4.5249342695804273</v>
      </c>
      <c r="AB12" s="9">
        <f>(LN(RawData!AB13)-LN(RawData!AB12))*100</f>
        <v>14.743317974931713</v>
      </c>
      <c r="AC12" s="9">
        <f>(LN(RawData!AC13)-LN(RawData!AC12))*100</f>
        <v>-3.7605887156455964</v>
      </c>
      <c r="AD12" s="9">
        <f>(LN(RawData!AD13)-LN(RawData!AD12))*100</f>
        <v>-5.4254909414577668</v>
      </c>
      <c r="AE12" s="9">
        <f>(LN(RawData!AE13)-LN(RawData!AE12))*100</f>
        <v>3.3542933979610723</v>
      </c>
      <c r="AF12" s="9">
        <f>(LN(RawData!AF13)-LN(RawData!AF12))*100</f>
        <v>-6.4329205510375687</v>
      </c>
      <c r="AG12" s="9">
        <f>(LN(RawData!AG13)-LN(RawData!AG12))*100</f>
        <v>-5.8617274199917802</v>
      </c>
      <c r="AH12" s="9">
        <f>(LN(RawData!AH13)-LN(RawData!AH12))*100</f>
        <v>1.77993687939626</v>
      </c>
      <c r="AI12" s="9">
        <f>(LN(RawData!AI13)-LN(RawData!AI12))*100</f>
        <v>-1.3914950180215158</v>
      </c>
      <c r="AJ12" s="9">
        <f>(LN(RawData!AJ13)-LN(RawData!AJ12))*100</f>
        <v>-6.5021310278083888</v>
      </c>
      <c r="AK12" s="9">
        <f>(LN(RawData!AK13)-LN(RawData!AK12))*100</f>
        <v>10.438874961350209</v>
      </c>
      <c r="AL12" s="9">
        <f>(LN(RawData!AL13)-LN(RawData!AL12))*100</f>
        <v>-6.1695515353601849</v>
      </c>
      <c r="AM12" s="9">
        <f>(LN(RawData!AM13)-LN(RawData!AM12))*100</f>
        <v>-8.1209989402907468</v>
      </c>
      <c r="AN12" s="9">
        <f>(LN(RawData!AN13)-LN(RawData!AN12))*100</f>
        <v>9.7135476151331446</v>
      </c>
      <c r="AO12" s="9">
        <f>(LN(RawData!AO13)-LN(RawData!AO12))*100</f>
        <v>6.7581144453129127</v>
      </c>
      <c r="AP12" s="9">
        <f>(LN(RawData!AP13)-LN(RawData!AP12))*100</f>
        <v>-1.5500404323059769</v>
      </c>
      <c r="AQ12" s="9">
        <f>(LN(RawData!AQ13)-LN(RawData!AQ12))*100</f>
        <v>6.3131117078901511</v>
      </c>
      <c r="AR12" s="9">
        <f>(LN(RawData!AR13)-LN(RawData!AR12))*100</f>
        <v>4.3346314230021221</v>
      </c>
      <c r="AS12" s="9">
        <f>(LN(RawData!AS13)-LN(RawData!AS12))*100</f>
        <v>0.78957363664144964</v>
      </c>
      <c r="AT12" s="9">
        <f>(LN(RawData!AT13)-LN(RawData!AT12))*100</f>
        <v>7.8606626285640857</v>
      </c>
      <c r="AU12" s="9">
        <f>(LN(RawData!AU13)-LN(RawData!AU12))*100</f>
        <v>0.35995590567701186</v>
      </c>
      <c r="AV12" s="9">
        <f>(LN(RawData!AV13)-LN(RawData!AV12))*100</f>
        <v>-4.9433487564243705</v>
      </c>
      <c r="AW12" s="9">
        <f>(LN(RawData!AW13)-LN(RawData!AW12))*100</f>
        <v>16.448881080028777</v>
      </c>
      <c r="AX12" s="9">
        <f>(LN(RawData!AX13)-LN(RawData!AX12))*100</f>
        <v>-2.8513878986540675</v>
      </c>
      <c r="AY12" s="9">
        <f>(LN(RawData!AY13)-LN(RawData!AY12))*100</f>
        <v>-4.7248406015036437</v>
      </c>
      <c r="AZ12" s="9">
        <f>(LN(RawData!AZ13)-LN(RawData!AZ12))*100</f>
        <v>9.4324663224741201</v>
      </c>
      <c r="BA12" s="9">
        <f>(LN(RawData!BA13)-LN(RawData!BA12))*100</f>
        <v>-1.9953869665016555</v>
      </c>
      <c r="BB12" s="9">
        <f>(LN(RawData!BB13)-LN(RawData!BB12))*100</f>
        <v>-2.6102733745315021</v>
      </c>
      <c r="BC12" s="9">
        <f>(LN(RawData!BC13)-LN(RawData!BC12))*100</f>
        <v>7.7610429355207344</v>
      </c>
    </row>
    <row r="13" spans="1:55" ht="16" x14ac:dyDescent="0.2">
      <c r="A13" s="8">
        <v>2010</v>
      </c>
      <c r="B13" s="9">
        <f>(LN(RawData!B14)-LN(RawData!B13))*100</f>
        <v>28.63681749328606</v>
      </c>
      <c r="C13" s="9">
        <f>(LN(RawData!C14)-LN(RawData!C13))*100</f>
        <v>9.6449513754116367</v>
      </c>
      <c r="D13" s="9">
        <f>(LN(RawData!D14)-LN(RawData!D13))*100</f>
        <v>24.707226249856973</v>
      </c>
      <c r="E13" s="9">
        <f>(LN(RawData!E14)-LN(RawData!E13))*100</f>
        <v>3.3473880456266869</v>
      </c>
      <c r="F13" s="9">
        <f>(LN(RawData!F14)-LN(RawData!F13))*100</f>
        <v>2.2021126155539861</v>
      </c>
      <c r="G13" s="9">
        <f>(LN(RawData!G14)-LN(RawData!G13))*100</f>
        <v>5.7459583304590112</v>
      </c>
      <c r="H13" s="9">
        <f>(LN(RawData!H14)-LN(RawData!H13))*100</f>
        <v>15.345637101848197</v>
      </c>
      <c r="I13" s="9">
        <f>(LN(RawData!I14)-LN(RawData!I13))*100</f>
        <v>7.2583192865536716</v>
      </c>
      <c r="J13" s="9">
        <f>(LN(RawData!J14)-LN(RawData!J13))*100</f>
        <v>19.902607609519229</v>
      </c>
      <c r="K13" s="9">
        <f>(LN(RawData!K14)-LN(RawData!K13))*100</f>
        <v>5.8528214294014447</v>
      </c>
      <c r="L13" s="9">
        <f>(LN(RawData!L14)-LN(RawData!L13))*100</f>
        <v>3.0440029128953938</v>
      </c>
      <c r="M13" s="9">
        <f>(LN(RawData!M14)-LN(RawData!M13))*100</f>
        <v>5.2877547927090873</v>
      </c>
      <c r="N13" s="9">
        <f>(LN(RawData!N14)-LN(RawData!N13))*100</f>
        <v>16.762361978522833</v>
      </c>
      <c r="O13" s="9">
        <f>(LN(RawData!O14)-LN(RawData!O13))*100</f>
        <v>10.107418202139584</v>
      </c>
      <c r="P13" s="9">
        <f>(LN(RawData!P14)-LN(RawData!P13))*100</f>
        <v>18.763827232276853</v>
      </c>
      <c r="Q13" s="9">
        <f>(LN(RawData!Q14)-LN(RawData!Q13))*100</f>
        <v>2.9946961697852714</v>
      </c>
      <c r="R13" s="9">
        <f>(LN(RawData!R14)-LN(RawData!R13))*100</f>
        <v>1.9306794814379913</v>
      </c>
      <c r="S13" s="9">
        <f>(LN(RawData!S14)-LN(RawData!S13))*100</f>
        <v>-1.1164804210249457</v>
      </c>
      <c r="T13" s="9">
        <f>(LN(RawData!T14)-LN(RawData!T13))*100</f>
        <v>4.7380886259677624</v>
      </c>
      <c r="U13" s="9">
        <f>(LN(RawData!U14)-LN(RawData!U13))*100</f>
        <v>4.0948858460556181</v>
      </c>
      <c r="V13" s="9">
        <f>(LN(RawData!V14)-LN(RawData!V13))*100</f>
        <v>-1.1164804210249457</v>
      </c>
      <c r="W13" s="9">
        <f>(LN(RawData!W14)-LN(RawData!W13))*100</f>
        <v>18.163860651213426</v>
      </c>
      <c r="X13" s="9">
        <f>(LN(RawData!X14)-LN(RawData!X13))*100</f>
        <v>8.1557725935542891</v>
      </c>
      <c r="Y13" s="9">
        <f>(LN(RawData!Y14)-LN(RawData!Y13))*100</f>
        <v>15.103008919694361</v>
      </c>
      <c r="Z13" s="9">
        <f>(LN(RawData!Z14)-LN(RawData!Z13))*100</f>
        <v>20.243602448487508</v>
      </c>
      <c r="AA13" s="9">
        <f>(LN(RawData!AA14)-LN(RawData!AA13))*100</f>
        <v>6.0378513226680752</v>
      </c>
      <c r="AB13" s="9">
        <f>(LN(RawData!AB14)-LN(RawData!AB13))*100</f>
        <v>11.509904816159633</v>
      </c>
      <c r="AC13" s="9">
        <f>(LN(RawData!AC14)-LN(RawData!AC13))*100</f>
        <v>2.1341956857966693</v>
      </c>
      <c r="AD13" s="9">
        <f>(LN(RawData!AD14)-LN(RawData!AD13))*100</f>
        <v>1.6987844402933661</v>
      </c>
      <c r="AE13" s="9">
        <f>(LN(RawData!AE14)-LN(RawData!AE13))*100</f>
        <v>-1.1164804210249457</v>
      </c>
      <c r="AF13" s="9">
        <f>(LN(RawData!AF14)-LN(RawData!AF13))*100</f>
        <v>2.1175260372643834</v>
      </c>
      <c r="AG13" s="9">
        <f>(LN(RawData!AG14)-LN(RawData!AG13))*100</f>
        <v>4.0161788657613329</v>
      </c>
      <c r="AH13" s="9">
        <f>(LN(RawData!AH14)-LN(RawData!AH13))*100</f>
        <v>2.0578439228167156</v>
      </c>
      <c r="AI13" s="9">
        <f>(LN(RawData!AI14)-LN(RawData!AI13))*100</f>
        <v>9.1317617170698639</v>
      </c>
      <c r="AJ13" s="9">
        <f>(LN(RawData!AJ14)-LN(RawData!AJ13))*100</f>
        <v>4.851712292772703</v>
      </c>
      <c r="AK13" s="9">
        <f>(LN(RawData!AK14)-LN(RawData!AK13))*100</f>
        <v>8.664403993028813</v>
      </c>
      <c r="AL13" s="9">
        <f>(LN(RawData!AL14)-LN(RawData!AL13))*100</f>
        <v>17.672014395249747</v>
      </c>
      <c r="AM13" s="9">
        <f>(LN(RawData!AM14)-LN(RawData!AM13))*100</f>
        <v>4.4016885409185136</v>
      </c>
      <c r="AN13" s="9">
        <f>(LN(RawData!AN14)-LN(RawData!AN13))*100</f>
        <v>20.729391080238635</v>
      </c>
      <c r="AO13" s="9">
        <f>(LN(RawData!AO14)-LN(RawData!AO13))*100</f>
        <v>8.9424285395651282</v>
      </c>
      <c r="AP13" s="9">
        <f>(LN(RawData!AP14)-LN(RawData!AP13))*100</f>
        <v>2.9944483985705261</v>
      </c>
      <c r="AQ13" s="9">
        <f>(LN(RawData!AQ14)-LN(RawData!AQ13))*100</f>
        <v>3.4093540785459453</v>
      </c>
      <c r="AR13" s="9">
        <f>(LN(RawData!AR14)-LN(RawData!AR13))*100</f>
        <v>9.2839891352753057</v>
      </c>
      <c r="AS13" s="9">
        <f>(LN(RawData!AS14)-LN(RawData!AS13))*100</f>
        <v>6.5832916650848006</v>
      </c>
      <c r="AT13" s="9">
        <f>(LN(RawData!AT14)-LN(RawData!AT13))*100</f>
        <v>7.9046424498518064</v>
      </c>
      <c r="AU13" s="9">
        <f>(LN(RawData!AU14)-LN(RawData!AU13))*100</f>
        <v>14.865331899182266</v>
      </c>
      <c r="AV13" s="9">
        <f>(LN(RawData!AV14)-LN(RawData!AV13))*100</f>
        <v>8.0907911640569097</v>
      </c>
      <c r="AW13" s="9">
        <f>(LN(RawData!AW14)-LN(RawData!AW13))*100</f>
        <v>14.215806272674136</v>
      </c>
      <c r="AX13" s="9">
        <f>(LN(RawData!AX14)-LN(RawData!AX13))*100</f>
        <v>3.7853288245823791</v>
      </c>
      <c r="AY13" s="9">
        <f>(LN(RawData!AY14)-LN(RawData!AY13))*100</f>
        <v>2.2139978207292188</v>
      </c>
      <c r="AZ13" s="9">
        <f>(LN(RawData!AZ14)-LN(RawData!AZ13))*100</f>
        <v>8.5086951010802991</v>
      </c>
      <c r="BA13" s="9">
        <f>(LN(RawData!BA14)-LN(RawData!BA13))*100</f>
        <v>3.8674733193133193</v>
      </c>
      <c r="BB13" s="9">
        <f>(LN(RawData!BB14)-LN(RawData!BB13))*100</f>
        <v>2.6595119566717784</v>
      </c>
      <c r="BC13" s="9">
        <f>(LN(RawData!BC14)-LN(RawData!BC13))*100</f>
        <v>2.4892862216294276</v>
      </c>
    </row>
    <row r="14" spans="1:55" ht="16" x14ac:dyDescent="0.2">
      <c r="A14" s="8">
        <v>2011</v>
      </c>
      <c r="B14" s="9">
        <f>(LN(RawData!B15)-LN(RawData!B14))*100</f>
        <v>27.102334995967681</v>
      </c>
      <c r="C14" s="9">
        <f>(LN(RawData!C15)-LN(RawData!C14))*100</f>
        <v>5.8306187549895583</v>
      </c>
      <c r="D14" s="9">
        <f>(LN(RawData!D15)-LN(RawData!D14))*100</f>
        <v>28.209754730506731</v>
      </c>
      <c r="E14" s="9">
        <f>(LN(RawData!E15)-LN(RawData!E14))*100</f>
        <v>8.3977821334258351</v>
      </c>
      <c r="F14" s="9">
        <f>(LN(RawData!F15)-LN(RawData!F14))*100</f>
        <v>2.3804137818959958</v>
      </c>
      <c r="G14" s="9">
        <f>(LN(RawData!G15)-LN(RawData!G14))*100</f>
        <v>9.1176801990080492</v>
      </c>
      <c r="H14" s="9">
        <f>(LN(RawData!H15)-LN(RawData!H14))*100</f>
        <v>11.88813775673232</v>
      </c>
      <c r="I14" s="9">
        <f>(LN(RawData!I15)-LN(RawData!I14))*100</f>
        <v>3.8974750978674422</v>
      </c>
      <c r="J14" s="9">
        <f>(LN(RawData!J15)-LN(RawData!J14))*100</f>
        <v>15.851805260453489</v>
      </c>
      <c r="K14" s="9">
        <f>(LN(RawData!K15)-LN(RawData!K14))*100</f>
        <v>6.2819241813979687</v>
      </c>
      <c r="L14" s="9">
        <f>(LN(RawData!L15)-LN(RawData!L14))*100</f>
        <v>3.0889900303684215</v>
      </c>
      <c r="M14" s="9">
        <f>(LN(RawData!M15)-LN(RawData!M14))*100</f>
        <v>7.0895682286494122</v>
      </c>
      <c r="N14" s="9">
        <f>(LN(RawData!N15)-LN(RawData!N14))*100</f>
        <v>16.888005416729257</v>
      </c>
      <c r="O14" s="9">
        <f>(LN(RawData!O15)-LN(RawData!O14))*100</f>
        <v>9.1218476362055156</v>
      </c>
      <c r="P14" s="9">
        <f>(LN(RawData!P15)-LN(RawData!P14))*100</f>
        <v>14.515908430462687</v>
      </c>
      <c r="Q14" s="9">
        <f>(LN(RawData!Q15)-LN(RawData!Q14))*100</f>
        <v>3.1125019625321215</v>
      </c>
      <c r="R14" s="9">
        <f>(LN(RawData!R15)-LN(RawData!R14))*100</f>
        <v>2.1690066849860301</v>
      </c>
      <c r="S14" s="9">
        <f>(LN(RawData!S15)-LN(RawData!S14))*100</f>
        <v>1.1184738970779762</v>
      </c>
      <c r="T14" s="9">
        <f>(LN(RawData!T15)-LN(RawData!T14))*100</f>
        <v>4.9139205608650371</v>
      </c>
      <c r="U14" s="9">
        <f>(LN(RawData!U15)-LN(RawData!U14))*100</f>
        <v>3.8501153415275269</v>
      </c>
      <c r="V14" s="9">
        <f>(LN(RawData!V15)-LN(RawData!V14))*100</f>
        <v>1.1184738970779762</v>
      </c>
      <c r="W14" s="9">
        <f>(LN(RawData!W15)-LN(RawData!W14))*100</f>
        <v>13.481625076707715</v>
      </c>
      <c r="X14" s="9">
        <f>(LN(RawData!X15)-LN(RawData!X14))*100</f>
        <v>5.1085776751456535</v>
      </c>
      <c r="Y14" s="9">
        <f>(LN(RawData!Y15)-LN(RawData!Y14))*100</f>
        <v>15.250246517392441</v>
      </c>
      <c r="Z14" s="9">
        <f>(LN(RawData!Z15)-LN(RawData!Z14))*100</f>
        <v>13.18731669146942</v>
      </c>
      <c r="AA14" s="9">
        <f>(LN(RawData!AA15)-LN(RawData!AA14))*100</f>
        <v>5.986936451870406</v>
      </c>
      <c r="AB14" s="9">
        <f>(LN(RawData!AB15)-LN(RawData!AB14))*100</f>
        <v>14.838483815537273</v>
      </c>
      <c r="AC14" s="9">
        <f>(LN(RawData!AC15)-LN(RawData!AC14))*100</f>
        <v>2.2992421052066447</v>
      </c>
      <c r="AD14" s="9">
        <f>(LN(RawData!AD15)-LN(RawData!AD14))*100</f>
        <v>0.70484347893220445</v>
      </c>
      <c r="AE14" s="9">
        <f>(LN(RawData!AE15)-LN(RawData!AE14))*100</f>
        <v>1.1184738970779762</v>
      </c>
      <c r="AF14" s="9">
        <f>(LN(RawData!AF15)-LN(RawData!AF14))*100</f>
        <v>-1.6115732997626253</v>
      </c>
      <c r="AG14" s="9">
        <f>(LN(RawData!AG15)-LN(RawData!AG14))*100</f>
        <v>2.3806689757321919E-2</v>
      </c>
      <c r="AH14" s="9">
        <f>(LN(RawData!AH15)-LN(RawData!AH14))*100</f>
        <v>2.177563035514396</v>
      </c>
      <c r="AI14" s="9">
        <f>(LN(RawData!AI15)-LN(RawData!AI14))*100</f>
        <v>8.9008030824427209</v>
      </c>
      <c r="AJ14" s="9">
        <f>(LN(RawData!AJ15)-LN(RawData!AJ14))*100</f>
        <v>3.3860653066138724</v>
      </c>
      <c r="AK14" s="9">
        <f>(LN(RawData!AK15)-LN(RawData!AK14))*100</f>
        <v>15.381962635096613</v>
      </c>
      <c r="AL14" s="9">
        <f>(LN(RawData!AL15)-LN(RawData!AL14))*100</f>
        <v>26.09163404803958</v>
      </c>
      <c r="AM14" s="9">
        <f>(LN(RawData!AM15)-LN(RawData!AM14))*100</f>
        <v>4.2101455842924906</v>
      </c>
      <c r="AN14" s="9">
        <f>(LN(RawData!AN15)-LN(RawData!AN14))*100</f>
        <v>18.807836668853639</v>
      </c>
      <c r="AO14" s="9">
        <f>(LN(RawData!AO15)-LN(RawData!AO14))*100</f>
        <v>8.510483497186172</v>
      </c>
      <c r="AP14" s="9">
        <f>(LN(RawData!AP15)-LN(RawData!AP14))*100</f>
        <v>3.119393340980281</v>
      </c>
      <c r="AQ14" s="9">
        <f>(LN(RawData!AQ15)-LN(RawData!AQ14))*100</f>
        <v>6.5996847730300345</v>
      </c>
      <c r="AR14" s="9">
        <f>(LN(RawData!AR15)-LN(RawData!AR14))*100</f>
        <v>4.8930885975757121</v>
      </c>
      <c r="AS14" s="9">
        <f>(LN(RawData!AS15)-LN(RawData!AS14))*100</f>
        <v>3.6193711230197323</v>
      </c>
      <c r="AT14" s="9">
        <f>(LN(RawData!AT15)-LN(RawData!AT14))*100</f>
        <v>5.0862745060936021</v>
      </c>
      <c r="AU14" s="9">
        <f>(LN(RawData!AU15)-LN(RawData!AU14))*100</f>
        <v>18.498019963459811</v>
      </c>
      <c r="AV14" s="9">
        <f>(LN(RawData!AV15)-LN(RawData!AV14))*100</f>
        <v>10.61611902824886</v>
      </c>
      <c r="AW14" s="9">
        <f>(LN(RawData!AW15)-LN(RawData!AW14))*100</f>
        <v>18.536631988535035</v>
      </c>
      <c r="AX14" s="9">
        <f>(LN(RawData!AX15)-LN(RawData!AX14))*100</f>
        <v>3.3041610313475189</v>
      </c>
      <c r="AY14" s="9">
        <f>(LN(RawData!AY15)-LN(RawData!AY14))*100</f>
        <v>1.1385948781096999</v>
      </c>
      <c r="AZ14" s="9">
        <f>(LN(RawData!AZ15)-LN(RawData!AZ14))*100</f>
        <v>-1.9232859696662885</v>
      </c>
      <c r="BA14" s="9">
        <f>(LN(RawData!BA15)-LN(RawData!BA14))*100</f>
        <v>3.5944117856359981</v>
      </c>
      <c r="BB14" s="9">
        <f>(LN(RawData!BB15)-LN(RawData!BB14))*100</f>
        <v>1.5522961541332592</v>
      </c>
      <c r="BC14" s="9">
        <f>(LN(RawData!BC15)-LN(RawData!BC14))*100</f>
        <v>7.0431689753458926</v>
      </c>
    </row>
    <row r="15" spans="1:55" ht="16" x14ac:dyDescent="0.2">
      <c r="A15" s="8">
        <v>2012</v>
      </c>
      <c r="B15" s="9">
        <f>(LN(RawData!B16)-LN(RawData!B15))*100</f>
        <v>19.11112780905988</v>
      </c>
      <c r="C15" s="9">
        <f>(LN(RawData!C16)-LN(RawData!C15))*100</f>
        <v>-1.031724474760054</v>
      </c>
      <c r="D15" s="9">
        <f>(LN(RawData!D16)-LN(RawData!D15))*100</f>
        <v>22.883143424165908</v>
      </c>
      <c r="E15" s="9">
        <f>(LN(RawData!E16)-LN(RawData!E15))*100</f>
        <v>5.6326526780047459</v>
      </c>
      <c r="F15" s="9">
        <f>(LN(RawData!F16)-LN(RawData!F15))*100</f>
        <v>3.8435882421346435</v>
      </c>
      <c r="G15" s="9">
        <f>(LN(RawData!G16)-LN(RawData!G15))*100</f>
        <v>7.5386231933542547</v>
      </c>
      <c r="H15" s="9">
        <f>(LN(RawData!H16)-LN(RawData!H15))*100</f>
        <v>9.5463844128587994</v>
      </c>
      <c r="I15" s="9">
        <f>(LN(RawData!I16)-LN(RawData!I15))*100</f>
        <v>1.9029544091068828</v>
      </c>
      <c r="J15" s="9">
        <f>(LN(RawData!J16)-LN(RawData!J15))*100</f>
        <v>16.106867028022798</v>
      </c>
      <c r="K15" s="9">
        <f>(LN(RawData!K16)-LN(RawData!K15))*100</f>
        <v>2.9515080681260741</v>
      </c>
      <c r="L15" s="9">
        <f>(LN(RawData!L16)-LN(RawData!L15))*100</f>
        <v>1.7404276348518266</v>
      </c>
      <c r="M15" s="9">
        <f>(LN(RawData!M16)-LN(RawData!M15))*100</f>
        <v>6.5029250901952551</v>
      </c>
      <c r="N15" s="9">
        <f>(LN(RawData!N16)-LN(RawData!N15))*100</f>
        <v>9.8743142535649753</v>
      </c>
      <c r="O15" s="9">
        <f>(LN(RawData!O16)-LN(RawData!O15))*100</f>
        <v>7.5698544973317183</v>
      </c>
      <c r="P15" s="9">
        <f>(LN(RawData!P16)-LN(RawData!P15))*100</f>
        <v>15.877797318303521</v>
      </c>
      <c r="Q15" s="9">
        <f>(LN(RawData!Q16)-LN(RawData!Q15))*100</f>
        <v>1.4677731745027955</v>
      </c>
      <c r="R15" s="9">
        <f>(LN(RawData!R16)-LN(RawData!R15))*100</f>
        <v>0.31264550528184998</v>
      </c>
      <c r="S15" s="9">
        <f>(LN(RawData!S16)-LN(RawData!S15))*100</f>
        <v>2.7092678297915285</v>
      </c>
      <c r="T15" s="9">
        <f>(LN(RawData!T16)-LN(RawData!T15))*100</f>
        <v>1.9030262450208113</v>
      </c>
      <c r="U15" s="9">
        <f>(LN(RawData!U16)-LN(RawData!U15))*100</f>
        <v>0.41762432858512</v>
      </c>
      <c r="V15" s="9">
        <f>(LN(RawData!V16)-LN(RawData!V15))*100</f>
        <v>2.7092678297915285</v>
      </c>
      <c r="W15" s="9">
        <f>(LN(RawData!W16)-LN(RawData!W15))*100</f>
        <v>12.948062649023484</v>
      </c>
      <c r="X15" s="9">
        <f>(LN(RawData!X16)-LN(RawData!X15))*100</f>
        <v>5.3127293323548486</v>
      </c>
      <c r="Y15" s="9">
        <f>(LN(RawData!Y16)-LN(RawData!Y15))*100</f>
        <v>12.876905125754945</v>
      </c>
      <c r="Z15" s="9">
        <f>(LN(RawData!Z16)-LN(RawData!Z15))*100</f>
        <v>9.5403722670575064</v>
      </c>
      <c r="AA15" s="9">
        <f>(LN(RawData!AA16)-LN(RawData!AA15))*100</f>
        <v>5.8552364673317925</v>
      </c>
      <c r="AB15" s="9">
        <f>(LN(RawData!AB16)-LN(RawData!AB15))*100</f>
        <v>16.959210934065183</v>
      </c>
      <c r="AC15" s="9">
        <f>(LN(RawData!AC16)-LN(RawData!AC15))*100</f>
        <v>-1.49078511251588</v>
      </c>
      <c r="AD15" s="9">
        <f>(LN(RawData!AD16)-LN(RawData!AD15))*100</f>
        <v>-3.0262379106556381</v>
      </c>
      <c r="AE15" s="9">
        <f>(LN(RawData!AE16)-LN(RawData!AE15))*100</f>
        <v>2.7092678297915285</v>
      </c>
      <c r="AF15" s="9">
        <f>(LN(RawData!AF16)-LN(RawData!AF15))*100</f>
        <v>0.60642102716457202</v>
      </c>
      <c r="AG15" s="9">
        <f>(LN(RawData!AG16)-LN(RawData!AG15))*100</f>
        <v>1.3653870209786589</v>
      </c>
      <c r="AH15" s="9">
        <f>(LN(RawData!AH16)-LN(RawData!AH15))*100</f>
        <v>2.1340269592919014</v>
      </c>
      <c r="AI15" s="9">
        <f>(LN(RawData!AI16)-LN(RawData!AI15))*100</f>
        <v>7.9336182767697494</v>
      </c>
      <c r="AJ15" s="9">
        <f>(LN(RawData!AJ16)-LN(RawData!AJ15))*100</f>
        <v>3.4915408228766154</v>
      </c>
      <c r="AK15" s="9">
        <f>(LN(RawData!AK16)-LN(RawData!AK15))*100</f>
        <v>17.723354908358502</v>
      </c>
      <c r="AL15" s="9">
        <f>(LN(RawData!AL16)-LN(RawData!AL15))*100</f>
        <v>12.478437898255734</v>
      </c>
      <c r="AM15" s="9">
        <f>(LN(RawData!AM16)-LN(RawData!AM15))*100</f>
        <v>3.9452284006657123</v>
      </c>
      <c r="AN15" s="9">
        <f>(LN(RawData!AN16)-LN(RawData!AN15))*100</f>
        <v>16.157080318064487</v>
      </c>
      <c r="AO15" s="9">
        <f>(LN(RawData!AO16)-LN(RawData!AO15))*100</f>
        <v>6.9467359484921332</v>
      </c>
      <c r="AP15" s="9">
        <f>(LN(RawData!AP16)-LN(RawData!AP15))*100</f>
        <v>2.3679732821854316</v>
      </c>
      <c r="AQ15" s="9">
        <f>(LN(RawData!AQ16)-LN(RawData!AQ15))*100</f>
        <v>6.4127321292865247</v>
      </c>
      <c r="AR15" s="9">
        <f>(LN(RawData!AR16)-LN(RawData!AR15))*100</f>
        <v>3.6181621339714809</v>
      </c>
      <c r="AS15" s="9">
        <f>(LN(RawData!AS16)-LN(RawData!AS15))*100</f>
        <v>2.3741243035118487</v>
      </c>
      <c r="AT15" s="9">
        <f>(LN(RawData!AT16)-LN(RawData!AT15))*100</f>
        <v>7.4633640730116468</v>
      </c>
      <c r="AU15" s="9">
        <f>(LN(RawData!AU16)-LN(RawData!AU15))*100</f>
        <v>11.83748619769176</v>
      </c>
      <c r="AV15" s="9">
        <f>(LN(RawData!AV16)-LN(RawData!AV15))*100</f>
        <v>4.6773777494937718</v>
      </c>
      <c r="AW15" s="9">
        <f>(LN(RawData!AW16)-LN(RawData!AW15))*100</f>
        <v>9.3520956007393963</v>
      </c>
      <c r="AX15" s="9">
        <f>(LN(RawData!AX16)-LN(RawData!AX15))*100</f>
        <v>3.0286901216012296</v>
      </c>
      <c r="AY15" s="9">
        <f>(LN(RawData!AY16)-LN(RawData!AY15))*100</f>
        <v>1.5016060030095701</v>
      </c>
      <c r="AZ15" s="9">
        <f>(LN(RawData!AZ16)-LN(RawData!AZ15))*100</f>
        <v>-1.4980210439484054</v>
      </c>
      <c r="BA15" s="9">
        <f>(LN(RawData!BA16)-LN(RawData!BA15))*100</f>
        <v>4.1083452009043953</v>
      </c>
      <c r="BB15" s="9">
        <f>(LN(RawData!BB16)-LN(RawData!BB15))*100</f>
        <v>2.263306280887889</v>
      </c>
      <c r="BC15" s="9">
        <f>(LN(RawData!BC16)-LN(RawData!BC15))*100</f>
        <v>8.1555121194408997</v>
      </c>
    </row>
    <row r="16" spans="1:55" ht="16" x14ac:dyDescent="0.2">
      <c r="A16" s="8">
        <v>2013</v>
      </c>
      <c r="B16" s="9">
        <f>(LN(RawData!B17)-LN(RawData!B16))*100</f>
        <v>23.846689365857543</v>
      </c>
      <c r="C16" s="9">
        <f>(LN(RawData!C17)-LN(RawData!C16))*100</f>
        <v>2.3768515312699634</v>
      </c>
      <c r="D16" s="9">
        <f>(LN(RawData!D17)-LN(RawData!D16))*100</f>
        <v>24.665253653183683</v>
      </c>
      <c r="E16" s="9">
        <f>(LN(RawData!E17)-LN(RawData!E16))*100</f>
        <v>2.4089000843744657</v>
      </c>
      <c r="F16" s="9">
        <f>(LN(RawData!F17)-LN(RawData!F16))*100</f>
        <v>2.572815863777933</v>
      </c>
      <c r="G16" s="9">
        <f>(LN(RawData!G17)-LN(RawData!G16))*100</f>
        <v>6.4463162276506836</v>
      </c>
      <c r="H16" s="9">
        <f>(LN(RawData!H17)-LN(RawData!H16))*100</f>
        <v>10.196874462850047</v>
      </c>
      <c r="I16" s="9">
        <f>(LN(RawData!I17)-LN(RawData!I16))*100</f>
        <v>2.9605623178866836</v>
      </c>
      <c r="J16" s="9">
        <f>(LN(RawData!J17)-LN(RawData!J16))*100</f>
        <v>10.593553995197347</v>
      </c>
      <c r="K16" s="9">
        <f>(LN(RawData!K17)-LN(RawData!K16))*100</f>
        <v>4.0249393477967743</v>
      </c>
      <c r="L16" s="9">
        <f>(LN(RawData!L17)-LN(RawData!L16))*100</f>
        <v>2.2991787240123074</v>
      </c>
      <c r="M16" s="9">
        <f>(LN(RawData!M17)-LN(RawData!M16))*100</f>
        <v>6.3471398619496355</v>
      </c>
      <c r="N16" s="9">
        <f>(LN(RawData!N17)-LN(RawData!N16))*100</f>
        <v>9.6196429585528875</v>
      </c>
      <c r="O16" s="9">
        <f>(LN(RawData!O17)-LN(RawData!O16))*100</f>
        <v>7.4793416661872669</v>
      </c>
      <c r="P16" s="9">
        <f>(LN(RawData!P17)-LN(RawData!P16))*100</f>
        <v>13.815978749882163</v>
      </c>
      <c r="Q16" s="9">
        <f>(LN(RawData!Q17)-LN(RawData!Q16))*100</f>
        <v>1.3497612070860754</v>
      </c>
      <c r="R16" s="9">
        <f>(LN(RawData!R17)-LN(RawData!R16))*100</f>
        <v>0.57467226608025612</v>
      </c>
      <c r="S16" s="9">
        <f>(LN(RawData!S17)-LN(RawData!S16))*100</f>
        <v>1.740720495475756</v>
      </c>
      <c r="T16" s="9">
        <f>(LN(RawData!T17)-LN(RawData!T16))*100</f>
        <v>2.3770793833971737</v>
      </c>
      <c r="U16" s="9">
        <f>(LN(RawData!U17)-LN(RawData!U16))*100</f>
        <v>0.43663665635591542</v>
      </c>
      <c r="V16" s="9">
        <f>(LN(RawData!V17)-LN(RawData!V16))*100</f>
        <v>1.740720495475756</v>
      </c>
      <c r="W16" s="9">
        <f>(LN(RawData!W17)-LN(RawData!W16))*100</f>
        <v>12.193163722731981</v>
      </c>
      <c r="X16" s="9">
        <f>(LN(RawData!X17)-LN(RawData!X16))*100</f>
        <v>6.1904803454595481</v>
      </c>
      <c r="Y16" s="9">
        <f>(LN(RawData!Y17)-LN(RawData!Y16))*100</f>
        <v>12.483143396903174</v>
      </c>
      <c r="Z16" s="9">
        <f>(LN(RawData!Z17)-LN(RawData!Z16))*100</f>
        <v>10.25496131697281</v>
      </c>
      <c r="AA16" s="9">
        <f>(LN(RawData!AA17)-LN(RawData!AA16))*100</f>
        <v>5.4083403455329915</v>
      </c>
      <c r="AB16" s="9">
        <f>(LN(RawData!AB17)-LN(RawData!AB16))*100</f>
        <v>12.895333624470595</v>
      </c>
      <c r="AC16" s="9">
        <f>(LN(RawData!AC17)-LN(RawData!AC16))*100</f>
        <v>-0.71714892280994036</v>
      </c>
      <c r="AD16" s="9">
        <f>(LN(RawData!AD17)-LN(RawData!AD16))*100</f>
        <v>-1.8582239870937656</v>
      </c>
      <c r="AE16" s="9">
        <f>(LN(RawData!AE17)-LN(RawData!AE16))*100</f>
        <v>1.740720495475756</v>
      </c>
      <c r="AF16" s="9">
        <f>(LN(RawData!AF17)-LN(RawData!AF16))*100</f>
        <v>1.6302583278061888</v>
      </c>
      <c r="AG16" s="9">
        <f>(LN(RawData!AG17)-LN(RawData!AG16))*100</f>
        <v>1.9852627779201271</v>
      </c>
      <c r="AH16" s="9">
        <f>(LN(RawData!AH17)-LN(RawData!AH16))*100</f>
        <v>2.8728367556634993</v>
      </c>
      <c r="AI16" s="9">
        <f>(LN(RawData!AI17)-LN(RawData!AI16))*100</f>
        <v>2.5380211824543863</v>
      </c>
      <c r="AJ16" s="9">
        <f>(LN(RawData!AJ17)-LN(RawData!AJ16))*100</f>
        <v>0.84849166621481231</v>
      </c>
      <c r="AK16" s="9">
        <f>(LN(RawData!AK17)-LN(RawData!AK16))*100</f>
        <v>12.33762089399999</v>
      </c>
      <c r="AL16" s="9">
        <f>(LN(RawData!AL17)-LN(RawData!AL16))*100</f>
        <v>6.9236393060663204</v>
      </c>
      <c r="AM16" s="9">
        <f>(LN(RawData!AM17)-LN(RawData!AM16))*100</f>
        <v>1.7401925845938138</v>
      </c>
      <c r="AN16" s="9">
        <f>(LN(RawData!AN17)-LN(RawData!AN16))*100</f>
        <v>15.007115181734321</v>
      </c>
      <c r="AO16" s="9">
        <f>(LN(RawData!AO17)-LN(RawData!AO16))*100</f>
        <v>8.1348005507724253</v>
      </c>
      <c r="AP16" s="9">
        <f>(LN(RawData!AP17)-LN(RawData!AP16))*100</f>
        <v>2.4550827010159537</v>
      </c>
      <c r="AQ16" s="9">
        <f>(LN(RawData!AQ17)-LN(RawData!AQ16))*100</f>
        <v>7.3282763329872935</v>
      </c>
      <c r="AR16" s="9">
        <f>(LN(RawData!AR17)-LN(RawData!AR16))*100</f>
        <v>4.1290554027881399</v>
      </c>
      <c r="AS16" s="9">
        <f>(LN(RawData!AS17)-LN(RawData!AS16))*100</f>
        <v>3.1156637997277414</v>
      </c>
      <c r="AT16" s="9">
        <f>(LN(RawData!AT17)-LN(RawData!AT16))*100</f>
        <v>6.6077600970515959</v>
      </c>
      <c r="AU16" s="9">
        <f>(LN(RawData!AU17)-LN(RawData!AU16))*100</f>
        <v>14.235722657665306</v>
      </c>
      <c r="AV16" s="9">
        <f>(LN(RawData!AV17)-LN(RawData!AV16))*100</f>
        <v>8.1449259521971129</v>
      </c>
      <c r="AW16" s="9">
        <f>(LN(RawData!AW17)-LN(RawData!AW16))*100</f>
        <v>15.583569472588366</v>
      </c>
      <c r="AX16" s="9">
        <f>(LN(RawData!AX17)-LN(RawData!AX16))*100</f>
        <v>3.8714150245784396</v>
      </c>
      <c r="AY16" s="9">
        <f>(LN(RawData!AY17)-LN(RawData!AY16))*100</f>
        <v>1.7764495008126602</v>
      </c>
      <c r="AZ16" s="9">
        <f>(LN(RawData!AZ17)-LN(RawData!AZ16))*100</f>
        <v>4.0392198116173006</v>
      </c>
      <c r="BA16" s="9">
        <f>(LN(RawData!BA17)-LN(RawData!BA16))*100</f>
        <v>3.7832763804761527</v>
      </c>
      <c r="BB16" s="9">
        <f>(LN(RawData!BB17)-LN(RawData!BB16))*100</f>
        <v>2.0957157620447475</v>
      </c>
      <c r="BC16" s="9">
        <f>(LN(RawData!BC17)-LN(RawData!BC16))*100</f>
        <v>6.4975714283878716</v>
      </c>
    </row>
    <row r="17" spans="1:55" ht="16" x14ac:dyDescent="0.2">
      <c r="A17" s="10">
        <v>2014</v>
      </c>
      <c r="B17" s="9">
        <f>(LN(RawData!B18)-LN(RawData!B17))*100</f>
        <v>31.304421837061014</v>
      </c>
      <c r="C17" s="9">
        <f>(LN(RawData!C18)-LN(RawData!C17))*100</f>
        <v>-2.5447204261411116</v>
      </c>
      <c r="D17" s="9">
        <f>(LN(RawData!D18)-LN(RawData!D17))*100</f>
        <v>22.115539283819885</v>
      </c>
      <c r="E17" s="9">
        <f>(LN(RawData!E18)-LN(RawData!E17))*100</f>
        <v>3.9691038373515397</v>
      </c>
      <c r="F17" s="9">
        <f>(LN(RawData!F18)-LN(RawData!F17))*100</f>
        <v>2.5739878960685303</v>
      </c>
      <c r="G17" s="9">
        <f>(LN(RawData!G18)-LN(RawData!G17))*100</f>
        <v>6.9795222724586381</v>
      </c>
      <c r="H17" s="9">
        <f>(LN(RawData!H18)-LN(RawData!H17))*100</f>
        <v>8.0567580008040096</v>
      </c>
      <c r="I17" s="9">
        <f>(LN(RawData!I18)-LN(RawData!I17))*100</f>
        <v>0.50269013358565928</v>
      </c>
      <c r="J17" s="9">
        <f>(LN(RawData!J18)-LN(RawData!J17))*100</f>
        <v>9.5328147782312911</v>
      </c>
      <c r="K17" s="9">
        <f>(LN(RawData!K18)-LN(RawData!K17))*100</f>
        <v>4.7555549555220011</v>
      </c>
      <c r="L17" s="9">
        <f>(LN(RawData!L18)-LN(RawData!L17))*100</f>
        <v>2.8329569100755236</v>
      </c>
      <c r="M17" s="9">
        <f>(LN(RawData!M18)-LN(RawData!M17))*100</f>
        <v>7.952235225034876</v>
      </c>
      <c r="N17" s="9">
        <f>(LN(RawData!N18)-LN(RawData!N17))*100</f>
        <v>8.188769721832756</v>
      </c>
      <c r="O17" s="9">
        <f>(LN(RawData!O18)-LN(RawData!O17))*100</f>
        <v>7.1629852387047777</v>
      </c>
      <c r="P17" s="9">
        <f>(LN(RawData!P18)-LN(RawData!P17))*100</f>
        <v>11.981074824399229</v>
      </c>
      <c r="Q17" s="9">
        <f>(LN(RawData!Q18)-LN(RawData!Q17))*100</f>
        <v>1.5269268393140578</v>
      </c>
      <c r="R17" s="9">
        <f>(LN(RawData!R18)-LN(RawData!R17))*100</f>
        <v>0.95164055565639671</v>
      </c>
      <c r="S17" s="9">
        <f>(LN(RawData!S18)-LN(RawData!S17))*100</f>
        <v>1.8845932571228019</v>
      </c>
      <c r="T17" s="9">
        <f>(LN(RawData!T18)-LN(RawData!T17))*100</f>
        <v>4.0460109993045279</v>
      </c>
      <c r="U17" s="9">
        <f>(LN(RawData!U18)-LN(RawData!U17))*100</f>
        <v>2.1854867376365661</v>
      </c>
      <c r="V17" s="9">
        <f>(LN(RawData!V18)-LN(RawData!V17))*100</f>
        <v>1.8845932571228019</v>
      </c>
      <c r="W17" s="9">
        <f>(LN(RawData!W18)-LN(RawData!W17))*100</f>
        <v>10.425978771604605</v>
      </c>
      <c r="X17" s="9">
        <f>(LN(RawData!X18)-LN(RawData!X17))*100</f>
        <v>7.1485220651027248</v>
      </c>
      <c r="Y17" s="9">
        <f>(LN(RawData!Y18)-LN(RawData!Y17))*100</f>
        <v>11.957661682145826</v>
      </c>
      <c r="Z17" s="9">
        <f>(LN(RawData!Z18)-LN(RawData!Z17))*100</f>
        <v>10.18556629204781</v>
      </c>
      <c r="AA17" s="9">
        <f>(LN(RawData!AA18)-LN(RawData!AA17))*100</f>
        <v>4.8853670969549512</v>
      </c>
      <c r="AB17" s="9">
        <f>(LN(RawData!AB18)-LN(RawData!AB17))*100</f>
        <v>10.859210585650914</v>
      </c>
      <c r="AC17" s="9">
        <f>(LN(RawData!AC18)-LN(RawData!AC17))*100</f>
        <v>0.90454878396784011</v>
      </c>
      <c r="AD17" s="9">
        <f>(LN(RawData!AD18)-LN(RawData!AD17))*100</f>
        <v>-4.5476457675164284E-3</v>
      </c>
      <c r="AE17" s="9">
        <f>(LN(RawData!AE18)-LN(RawData!AE17))*100</f>
        <v>1.8845932571228019</v>
      </c>
      <c r="AF17" s="9">
        <f>(LN(RawData!AF18)-LN(RawData!AF17))*100</f>
        <v>1.9680023688032122</v>
      </c>
      <c r="AG17" s="9">
        <f>(LN(RawData!AG18)-LN(RawData!AG17))*100</f>
        <v>0.29576768996903979</v>
      </c>
      <c r="AH17" s="9">
        <f>(LN(RawData!AH18)-LN(RawData!AH17))*100</f>
        <v>2.7250307154915276</v>
      </c>
      <c r="AI17" s="9">
        <f>(LN(RawData!AI18)-LN(RawData!AI17))*100</f>
        <v>6.7485792811112333</v>
      </c>
      <c r="AJ17" s="9">
        <f>(LN(RawData!AJ18)-LN(RawData!AJ17))*100</f>
        <v>2.4729329017645796</v>
      </c>
      <c r="AK17" s="9">
        <f>(LN(RawData!AK18)-LN(RawData!AK17))*100</f>
        <v>10.485865753290291</v>
      </c>
      <c r="AL17" s="9">
        <f>(LN(RawData!AL18)-LN(RawData!AL17))*100</f>
        <v>7.9563995668483045</v>
      </c>
      <c r="AM17" s="9">
        <f>(LN(RawData!AM18)-LN(RawData!AM17))*100</f>
        <v>0.73357000571050435</v>
      </c>
      <c r="AN17" s="9">
        <f>(LN(RawData!AN18)-LN(RawData!AN17))*100</f>
        <v>11.989479781396106</v>
      </c>
      <c r="AO17" s="9">
        <f>(LN(RawData!AO18)-LN(RawData!AO17))*100</f>
        <v>6.6314252528449913</v>
      </c>
      <c r="AP17" s="9">
        <f>(LN(RawData!AP18)-LN(RawData!AP17))*100</f>
        <v>1.4039251418171972</v>
      </c>
      <c r="AQ17" s="9">
        <f>(LN(RawData!AQ18)-LN(RawData!AQ17))*100</f>
        <v>6.9092398775744357</v>
      </c>
      <c r="AR17" s="9">
        <f>(LN(RawData!AR18)-LN(RawData!AR17))*100</f>
        <v>4.0550535226600459</v>
      </c>
      <c r="AS17" s="9">
        <f>(LN(RawData!AS18)-LN(RawData!AS17))*100</f>
        <v>3.1522443855905635</v>
      </c>
      <c r="AT17" s="9">
        <f>(LN(RawData!AT18)-LN(RawData!AT17))*100</f>
        <v>6.8812776485369653</v>
      </c>
      <c r="AU17" s="9">
        <f>(LN(RawData!AU18)-LN(RawData!AU17))*100</f>
        <v>11.95082574634263</v>
      </c>
      <c r="AV17" s="9">
        <f>(LN(RawData!AV18)-LN(RawData!AV17))*100</f>
        <v>4.8215857966862785</v>
      </c>
      <c r="AW17" s="9">
        <f>(LN(RawData!AW18)-LN(RawData!AW17))*100</f>
        <v>15.013148053454728</v>
      </c>
      <c r="AX17" s="9">
        <f>(LN(RawData!AX18)-LN(RawData!AX17))*100</f>
        <v>4.4549509139098831</v>
      </c>
      <c r="AY17" s="9">
        <f>(LN(RawData!AY18)-LN(RawData!AY17))*100</f>
        <v>3.1457798643060642</v>
      </c>
      <c r="AZ17" s="9">
        <f>(LN(RawData!AZ18)-LN(RawData!AZ17))*100</f>
        <v>-0.55197478369741759</v>
      </c>
      <c r="BA17" s="9">
        <f>(LN(RawData!BA18)-LN(RawData!BA17))*100</f>
        <v>4.2191231105558558</v>
      </c>
      <c r="BB17" s="9">
        <f>(LN(RawData!BB18)-LN(RawData!BB17))*100</f>
        <v>2.4924974025726243</v>
      </c>
      <c r="BC17" s="9">
        <f>(LN(RawData!BC18)-LN(RawData!BC17))*100</f>
        <v>5.9533267717071681</v>
      </c>
    </row>
    <row r="18" spans="1:55" ht="16" x14ac:dyDescent="0.2">
      <c r="A18" s="10">
        <v>2015</v>
      </c>
      <c r="B18" s="9">
        <f>(LN(RawData!B19)-LN(RawData!B18))*100</f>
        <v>26.26495582578805</v>
      </c>
      <c r="C18" s="9">
        <f>(LN(RawData!C19)-LN(RawData!C18))*100</f>
        <v>2.6945291240490832</v>
      </c>
      <c r="D18" s="9">
        <f>(LN(RawData!D19)-LN(RawData!D18))*100</f>
        <v>28.746346906659426</v>
      </c>
      <c r="E18" s="9">
        <f>(LN(RawData!E19)-LN(RawData!E18))*100</f>
        <v>1.5530508514924435</v>
      </c>
      <c r="F18" s="9">
        <f>(LN(RawData!F19)-LN(RawData!F18))*100</f>
        <v>2.1779203497143129</v>
      </c>
      <c r="G18" s="9">
        <f>(LN(RawData!G19)-LN(RawData!G18))*100</f>
        <v>6.5291294714883819</v>
      </c>
      <c r="H18" s="9">
        <f>(LN(RawData!H19)-LN(RawData!H18))*100</f>
        <v>3.6834531519311042</v>
      </c>
      <c r="I18" s="9">
        <f>(LN(RawData!I19)-LN(RawData!I18))*100</f>
        <v>-3.6101522175378875</v>
      </c>
      <c r="J18" s="9">
        <f>(LN(RawData!J19)-LN(RawData!J18))*100</f>
        <v>9.5523136278728771</v>
      </c>
      <c r="K18" s="9">
        <f>(LN(RawData!K19)-LN(RawData!K18))*100</f>
        <v>-0.22356953100519661</v>
      </c>
      <c r="L18" s="9">
        <f>(LN(RawData!L19)-LN(RawData!L18))*100</f>
        <v>0.6478677907988839</v>
      </c>
      <c r="M18" s="9">
        <f>(LN(RawData!M19)-LN(RawData!M18))*100</f>
        <v>7.1836261259633716</v>
      </c>
      <c r="N18" s="9">
        <f>(LN(RawData!N19)-LN(RawData!N18))*100</f>
        <v>6.8015383731278689</v>
      </c>
      <c r="O18" s="9">
        <f>(LN(RawData!O19)-LN(RawData!O18))*100</f>
        <v>6.8044825101164719</v>
      </c>
      <c r="P18" s="9">
        <f>(LN(RawData!P19)-LN(RawData!P18))*100</f>
        <v>11.22374189450781</v>
      </c>
      <c r="Q18" s="9">
        <f>(LN(RawData!Q19)-LN(RawData!Q18))*100</f>
        <v>2.2385845140654226</v>
      </c>
      <c r="R18" s="9">
        <f>(LN(RawData!R19)-LN(RawData!R18))*100</f>
        <v>1.1067650385243155</v>
      </c>
      <c r="S18" s="9">
        <f>(LN(RawData!S19)-LN(RawData!S18))*100</f>
        <v>5.8394161376188691</v>
      </c>
      <c r="T18" s="9">
        <f>(LN(RawData!T19)-LN(RawData!T18))*100</f>
        <v>3.3176193048138458</v>
      </c>
      <c r="U18" s="9">
        <f>(LN(RawData!U19)-LN(RawData!U18))*100</f>
        <v>1.4809116995227356</v>
      </c>
      <c r="V18" s="9">
        <f>(LN(RawData!V19)-LN(RawData!V18))*100</f>
        <v>5.8394161376188691</v>
      </c>
      <c r="W18" s="9">
        <f>(LN(RawData!W19)-LN(RawData!W18))*100</f>
        <v>9.9466290694159909</v>
      </c>
      <c r="X18" s="9">
        <f>(LN(RawData!X19)-LN(RawData!X18))*100</f>
        <v>7.6926353364754618</v>
      </c>
      <c r="Y18" s="9">
        <f>(LN(RawData!Y19)-LN(RawData!Y18))*100</f>
        <v>10.250203807560609</v>
      </c>
      <c r="Z18" s="9">
        <f>(LN(RawData!Z19)-LN(RawData!Z18))*100</f>
        <v>8.6642307749286829</v>
      </c>
      <c r="AA18" s="9">
        <f>(LN(RawData!AA19)-LN(RawData!AA18))*100</f>
        <v>4.7611587065169658</v>
      </c>
      <c r="AB18" s="9">
        <f>(LN(RawData!AB19)-LN(RawData!AB18))*100</f>
        <v>12.042708459609841</v>
      </c>
      <c r="AC18" s="9">
        <f>(LN(RawData!AC19)-LN(RawData!AC18))*100</f>
        <v>1.7028396991292993</v>
      </c>
      <c r="AD18" s="9">
        <f>(LN(RawData!AD19)-LN(RawData!AD18))*100</f>
        <v>0.77529118669730224</v>
      </c>
      <c r="AE18" s="9">
        <f>(LN(RawData!AE19)-LN(RawData!AE18))*100</f>
        <v>5.8394161376188691</v>
      </c>
      <c r="AF18" s="9">
        <f>(LN(RawData!AF19)-LN(RawData!AF18))*100</f>
        <v>3.6378940541197835</v>
      </c>
      <c r="AG18" s="9">
        <f>(LN(RawData!AG19)-LN(RawData!AG18))*100</f>
        <v>1.5485741533851183</v>
      </c>
      <c r="AH18" s="9">
        <f>(LN(RawData!AH19)-LN(RawData!AH18))*100</f>
        <v>2.9336154346477628</v>
      </c>
      <c r="AI18" s="9">
        <f>(LN(RawData!AI19)-LN(RawData!AI18))*100</f>
        <v>5.8409595150646254</v>
      </c>
      <c r="AJ18" s="9">
        <f>(LN(RawData!AJ19)-LN(RawData!AJ18))*100</f>
        <v>2.6664554113168037</v>
      </c>
      <c r="AK18" s="9">
        <f>(LN(RawData!AK19)-LN(RawData!AK18))*100</f>
        <v>8.5361530567279686</v>
      </c>
      <c r="AL18" s="9">
        <f>(LN(RawData!AL19)-LN(RawData!AL18))*100</f>
        <v>5.0065538599618264</v>
      </c>
      <c r="AM18" s="9">
        <f>(LN(RawData!AM19)-LN(RawData!AM18))*100</f>
        <v>-1.9924370809818015</v>
      </c>
      <c r="AN18" s="9">
        <f>(LN(RawData!AN19)-LN(RawData!AN18))*100</f>
        <v>16.900082608261258</v>
      </c>
      <c r="AO18" s="9">
        <f>(LN(RawData!AO19)-LN(RawData!AO18))*100</f>
        <v>6.7104238763636914</v>
      </c>
      <c r="AP18" s="9">
        <f>(LN(RawData!AP19)-LN(RawData!AP18))*100</f>
        <v>1.3132018731532469</v>
      </c>
      <c r="AQ18" s="9">
        <f>(LN(RawData!AQ19)-LN(RawData!AQ18))*100</f>
        <v>8.4636930909566033</v>
      </c>
      <c r="AR18" s="9">
        <f>(LN(RawData!AR19)-LN(RawData!AR18))*100</f>
        <v>5.9062799656828702</v>
      </c>
      <c r="AS18" s="9">
        <f>(LN(RawData!AS19)-LN(RawData!AS18))*100</f>
        <v>2.7703716305381931</v>
      </c>
      <c r="AT18" s="9">
        <f>(LN(RawData!AT19)-LN(RawData!AT18))*100</f>
        <v>9.4243949099325874</v>
      </c>
      <c r="AU18" s="9">
        <f>(LN(RawData!AU19)-LN(RawData!AU18))*100</f>
        <v>13.458969173430191</v>
      </c>
      <c r="AV18" s="9">
        <f>(LN(RawData!AV19)-LN(RawData!AV18))*100</f>
        <v>5.9065636919552134</v>
      </c>
      <c r="AW18" s="9">
        <f>(LN(RawData!AW19)-LN(RawData!AW18))*100</f>
        <v>16.152247158879263</v>
      </c>
      <c r="AX18" s="9">
        <f>(LN(RawData!AX19)-LN(RawData!AX18))*100</f>
        <v>2.8547850049125856</v>
      </c>
      <c r="AY18" s="9">
        <f>(LN(RawData!AY19)-LN(RawData!AY18))*100</f>
        <v>2.1959694469053659</v>
      </c>
      <c r="AZ18" s="9">
        <f>(LN(RawData!AZ19)-LN(RawData!AZ18))*100</f>
        <v>-0.15415732205585897</v>
      </c>
      <c r="BA18" s="9">
        <f>(LN(RawData!BA19)-LN(RawData!BA18))*100</f>
        <v>3.8267655465642036</v>
      </c>
      <c r="BB18" s="9">
        <f>(LN(RawData!BB19)-LN(RawData!BB18))*100</f>
        <v>2.9030026100510753</v>
      </c>
      <c r="BC18" s="9">
        <f>(LN(RawData!BC19)-LN(RawData!BC18))*100</f>
        <v>5.5973765465012093</v>
      </c>
    </row>
    <row r="19" spans="1:55" ht="16" x14ac:dyDescent="0.2">
      <c r="A19" s="10">
        <v>2016</v>
      </c>
      <c r="B19" s="9">
        <f>(LN(RawData!B20)-LN(RawData!B19))*100</f>
        <v>32.341329744580349</v>
      </c>
      <c r="C19" s="9">
        <f>(LN(RawData!C20)-LN(RawData!C19))*100</f>
        <v>-2.1022715307477569</v>
      </c>
      <c r="D19" s="9">
        <f>(LN(RawData!D20)-LN(RawData!D19))*100</f>
        <v>29.02034690169053</v>
      </c>
      <c r="E19" s="9">
        <f>(LN(RawData!E20)-LN(RawData!E19))*100</f>
        <v>2.0832938418472224</v>
      </c>
      <c r="F19" s="9">
        <f>(LN(RawData!F20)-LN(RawData!F19))*100</f>
        <v>2.7412253698159361</v>
      </c>
      <c r="G19" s="9">
        <f>(LN(RawData!G20)-LN(RawData!G19))*100</f>
        <v>5.8067169345999758</v>
      </c>
      <c r="H19" s="9">
        <f>(LN(RawData!H20)-LN(RawData!H19))*100</f>
        <v>4.4612115940552144</v>
      </c>
      <c r="I19" s="9">
        <f>(LN(RawData!I20)-LN(RawData!I19))*100</f>
        <v>-3.3307764979369381</v>
      </c>
      <c r="J19" s="9">
        <f>(LN(RawData!J20)-LN(RawData!J19))*100</f>
        <v>10.279476860376846</v>
      </c>
      <c r="K19" s="9">
        <f>(LN(RawData!K20)-LN(RawData!K19))*100</f>
        <v>1.7476151175138455</v>
      </c>
      <c r="L19" s="9">
        <f>(LN(RawData!L20)-LN(RawData!L19))*100</f>
        <v>1.033195045207691</v>
      </c>
      <c r="M19" s="9">
        <f>(LN(RawData!M20)-LN(RawData!M19))*100</f>
        <v>8.2095506483350178</v>
      </c>
      <c r="N19" s="9">
        <f>(LN(RawData!N20)-LN(RawData!N19))*100</f>
        <v>8.0219559865867041</v>
      </c>
      <c r="O19" s="9">
        <f>(LN(RawData!O20)-LN(RawData!O19))*100</f>
        <v>6.6244211292161737</v>
      </c>
      <c r="P19" s="9">
        <f>(LN(RawData!P20)-LN(RawData!P19))*100</f>
        <v>11.34405262534024</v>
      </c>
      <c r="Q19" s="9">
        <f>(LN(RawData!Q20)-LN(RawData!Q19))*100</f>
        <v>1.6107063956209089</v>
      </c>
      <c r="R19" s="9">
        <f>(LN(RawData!R20)-LN(RawData!R19))*100</f>
        <v>1.0895076556419525</v>
      </c>
      <c r="S19" s="9">
        <f>(LN(RawData!S20)-LN(RawData!S19))*100</f>
        <v>4.7756575668195467</v>
      </c>
      <c r="T19" s="9">
        <f>(LN(RawData!T20)-LN(RawData!T19))*100</f>
        <v>3.5245137971390506</v>
      </c>
      <c r="U19" s="9">
        <f>(LN(RawData!U20)-LN(RawData!U19))*100</f>
        <v>2.205498948786655</v>
      </c>
      <c r="V19" s="9">
        <f>(LN(RawData!V20)-LN(RawData!V19))*100</f>
        <v>4.7756575668195467</v>
      </c>
      <c r="W19" s="9">
        <f>(LN(RawData!W20)-LN(RawData!W19))*100</f>
        <v>11.119800234068578</v>
      </c>
      <c r="X19" s="9">
        <f>(LN(RawData!X20)-LN(RawData!X19))*100</f>
        <v>7.9331428637168244</v>
      </c>
      <c r="Y19" s="9">
        <f>(LN(RawData!Y20)-LN(RawData!Y19))*100</f>
        <v>9.6185902287679426</v>
      </c>
      <c r="Z19" s="9">
        <f>(LN(RawData!Z20)-LN(RawData!Z19))*100</f>
        <v>7.3201631609620676</v>
      </c>
      <c r="AA19" s="9">
        <f>(LN(RawData!AA20)-LN(RawData!AA19))*100</f>
        <v>4.910505918290653</v>
      </c>
      <c r="AB19" s="9">
        <f>(LN(RawData!AB20)-LN(RawData!AB19))*100</f>
        <v>7.5296014167573588</v>
      </c>
      <c r="AC19" s="9">
        <f>(LN(RawData!AC20)-LN(RawData!AC19))*100</f>
        <v>2.4131334583245234</v>
      </c>
      <c r="AD19" s="9">
        <f>(LN(RawData!AD20)-LN(RawData!AD19))*100</f>
        <v>1.2851689438441838</v>
      </c>
      <c r="AE19" s="9">
        <f>(LN(RawData!AE20)-LN(RawData!AE19))*100</f>
        <v>4.7756575668195467</v>
      </c>
      <c r="AF19" s="9">
        <f>(LN(RawData!AF20)-LN(RawData!AF19))*100</f>
        <v>1.1700647412311582</v>
      </c>
      <c r="AG19" s="9">
        <f>(LN(RawData!AG20)-LN(RawData!AG19))*100</f>
        <v>0.75099967069931495</v>
      </c>
      <c r="AH19" s="9">
        <f>(LN(RawData!AH20)-LN(RawData!AH19))*100</f>
        <v>2.8072219262231357</v>
      </c>
      <c r="AI19" s="9">
        <f>(LN(RawData!AI20)-LN(RawData!AI19))*100</f>
        <v>7.657027863838195</v>
      </c>
      <c r="AJ19" s="9">
        <f>(LN(RawData!AJ20)-LN(RawData!AJ19))*100</f>
        <v>1.7569677672209849</v>
      </c>
      <c r="AK19" s="9">
        <f>(LN(RawData!AK20)-LN(RawData!AK19))*100</f>
        <v>4.7593920964430936</v>
      </c>
      <c r="AL19" s="9">
        <f>(LN(RawData!AL20)-LN(RawData!AL19))*100</f>
        <v>2.998028375774453</v>
      </c>
      <c r="AM19" s="9">
        <f>(LN(RawData!AM20)-LN(RawData!AM19))*100</f>
        <v>0.19350273390514872</v>
      </c>
      <c r="AN19" s="9">
        <f>(LN(RawData!AN20)-LN(RawData!AN19))*100</f>
        <v>11.5371048724354</v>
      </c>
      <c r="AO19" s="9">
        <f>(LN(RawData!AO20)-LN(RawData!AO19))*100</f>
        <v>7.3835096457550264</v>
      </c>
      <c r="AP19" s="9">
        <f>(LN(RawData!AP20)-LN(RawData!AP19))*100</f>
        <v>0.66235389337663264</v>
      </c>
      <c r="AQ19" s="9">
        <f>(LN(RawData!AQ20)-LN(RawData!AQ19))*100</f>
        <v>6.2594292058603784</v>
      </c>
      <c r="AR19" s="9">
        <f>(LN(RawData!AR20)-LN(RawData!AR19))*100</f>
        <v>4.870869824270585</v>
      </c>
      <c r="AS19" s="9">
        <f>(LN(RawData!AS20)-LN(RawData!AS19))*100</f>
        <v>2.9042957712611894</v>
      </c>
      <c r="AT19" s="9">
        <f>(LN(RawData!AT20)-LN(RawData!AT19))*100</f>
        <v>7.8505669608613715</v>
      </c>
      <c r="AU19" s="9">
        <f>(LN(RawData!AU20)-LN(RawData!AU19))*100</f>
        <v>11.085907511148108</v>
      </c>
      <c r="AV19" s="9">
        <f>(LN(RawData!AV20)-LN(RawData!AV19))*100</f>
        <v>3.269063282438367</v>
      </c>
      <c r="AW19" s="9">
        <f>(LN(RawData!AW20)-LN(RawData!AW19))*100</f>
        <v>11.73492358671524</v>
      </c>
      <c r="AX19" s="9">
        <f>(LN(RawData!AX20)-LN(RawData!AX19))*100</f>
        <v>3.8485892358227858</v>
      </c>
      <c r="AY19" s="9">
        <f>(LN(RawData!AY20)-LN(RawData!AY19))*100</f>
        <v>1.9028439587941648</v>
      </c>
      <c r="AZ19" s="9">
        <f>(LN(RawData!AZ20)-LN(RawData!AZ19))*100</f>
        <v>6.6222018576789665</v>
      </c>
      <c r="BA19" s="9">
        <f>(LN(RawData!BA20)-LN(RawData!BA19))*100</f>
        <v>2.74893284767046</v>
      </c>
      <c r="BB19" s="9">
        <f>(LN(RawData!BB20)-LN(RawData!BB19))*100</f>
        <v>1.8030975266153604</v>
      </c>
      <c r="BC19" s="9">
        <f>(LN(RawData!BC20)-LN(RawData!BC19))*100</f>
        <v>6.5372137627065285</v>
      </c>
    </row>
    <row r="20" spans="1:55" ht="16" x14ac:dyDescent="0.2">
      <c r="A20" s="10">
        <v>2017</v>
      </c>
      <c r="B20" s="9">
        <f>(LN(RawData!B21)-LN(RawData!B20))*100</f>
        <v>25.895748979599276</v>
      </c>
      <c r="C20" s="9">
        <f>(LN(RawData!C21)-LN(RawData!C20))*100</f>
        <v>2.7795140892727943</v>
      </c>
      <c r="D20" s="9">
        <f>(LN(RawData!D21)-LN(RawData!D20))*100</f>
        <v>31.496808510816976</v>
      </c>
      <c r="E20" s="9">
        <f>(LN(RawData!E21)-LN(RawData!E20))*100</f>
        <v>5.8783904487562211</v>
      </c>
      <c r="F20" s="9">
        <f>(LN(RawData!F21)-LN(RawData!F20))*100</f>
        <v>2.2922357705954965</v>
      </c>
      <c r="G20" s="9">
        <f>(LN(RawData!G21)-LN(RawData!G20))*100</f>
        <v>6.5289890444553578</v>
      </c>
      <c r="H20" s="9">
        <f>(LN(RawData!H21)-LN(RawData!H20))*100</f>
        <v>4.9197901760479112</v>
      </c>
      <c r="I20" s="9">
        <f>(LN(RawData!I21)-LN(RawData!I20))*100</f>
        <v>1.3141955503691349</v>
      </c>
      <c r="J20" s="9">
        <f>(LN(RawData!J21)-LN(RawData!J20))*100</f>
        <v>9.1646103600229623</v>
      </c>
      <c r="K20" s="9">
        <f>(LN(RawData!K21)-LN(RawData!K20))*100</f>
        <v>5.5272441091670288</v>
      </c>
      <c r="L20" s="9">
        <f>(LN(RawData!L21)-LN(RawData!L20))*100</f>
        <v>2.988724249921404</v>
      </c>
      <c r="M20" s="9">
        <f>(LN(RawData!M21)-LN(RawData!M20))*100</f>
        <v>5.9698052349999031</v>
      </c>
      <c r="N20" s="9">
        <f>(LN(RawData!N21)-LN(RawData!N20))*100</f>
        <v>10.862061690689018</v>
      </c>
      <c r="O20" s="9">
        <f>(LN(RawData!O21)-LN(RawData!O20))*100</f>
        <v>6.7165076157287729</v>
      </c>
      <c r="P20" s="9">
        <f>(LN(RawData!P21)-LN(RawData!P20))*100</f>
        <v>9.1919644435765946</v>
      </c>
      <c r="Q20" s="9">
        <f>(LN(RawData!Q21)-LN(RawData!Q20))*100</f>
        <v>2.7857830031233988</v>
      </c>
      <c r="R20" s="9">
        <f>(LN(RawData!R21)-LN(RawData!R20))*100</f>
        <v>2.2655612427389116</v>
      </c>
      <c r="S20" s="9">
        <f>(LN(RawData!S21)-LN(RawData!S20))*100</f>
        <v>4.6209546350613806</v>
      </c>
      <c r="T20" s="9">
        <f>(LN(RawData!T21)-LN(RawData!T20))*100</f>
        <v>4.1374869977776285</v>
      </c>
      <c r="U20" s="9">
        <f>(LN(RawData!U21)-LN(RawData!U20))*100</f>
        <v>2.6449420830964243</v>
      </c>
      <c r="V20" s="9">
        <f>(LN(RawData!V21)-LN(RawData!V20))*100</f>
        <v>4.6209546350613806</v>
      </c>
      <c r="W20" s="9">
        <f>(LN(RawData!W21)-LN(RawData!W20))*100</f>
        <v>10.466958585238473</v>
      </c>
      <c r="X20" s="9">
        <f>(LN(RawData!X21)-LN(RawData!X20))*100</f>
        <v>6.5744513189720521</v>
      </c>
      <c r="Y20" s="9">
        <f>(LN(RawData!Y21)-LN(RawData!Y20))*100</f>
        <v>6.9038904199480555</v>
      </c>
      <c r="Z20" s="9">
        <f>(LN(RawData!Z21)-LN(RawData!Z20))*100</f>
        <v>9.1485544416059383</v>
      </c>
      <c r="AA20" s="9">
        <f>(LN(RawData!AA21)-LN(RawData!AA20))*100</f>
        <v>4.9454571034196704</v>
      </c>
      <c r="AB20" s="9">
        <f>(LN(RawData!AB21)-LN(RawData!AB20))*100</f>
        <v>9.4336665038724732</v>
      </c>
      <c r="AC20" s="9">
        <f>(LN(RawData!AC21)-LN(RawData!AC20))*100</f>
        <v>2.3778210682650069</v>
      </c>
      <c r="AD20" s="9">
        <f>(LN(RawData!AD21)-LN(RawData!AD20))*100</f>
        <v>1.6541030155238445</v>
      </c>
      <c r="AE20" s="9">
        <f>(LN(RawData!AE21)-LN(RawData!AE20))*100</f>
        <v>4.6209546350613806</v>
      </c>
      <c r="AF20" s="9">
        <f>(LN(RawData!AF21)-LN(RawData!AF20))*100</f>
        <v>1.5870757096756449</v>
      </c>
      <c r="AG20" s="9">
        <f>(LN(RawData!AG21)-LN(RawData!AG20))*100</f>
        <v>1.6614528663552619</v>
      </c>
      <c r="AH20" s="9">
        <f>(LN(RawData!AH21)-LN(RawData!AH20))*100</f>
        <v>3.3080080394128686</v>
      </c>
      <c r="AI20" s="9">
        <f>(LN(RawData!AI21)-LN(RawData!AI20))*100</f>
        <v>8.2153564503524734</v>
      </c>
      <c r="AJ20" s="9">
        <f>(LN(RawData!AJ21)-LN(RawData!AJ20))*100</f>
        <v>1.8544272500474079</v>
      </c>
      <c r="AK20" s="9">
        <f>(LN(RawData!AK21)-LN(RawData!AK20))*100</f>
        <v>7.1979515515749881</v>
      </c>
      <c r="AL20" s="9">
        <f>(LN(RawData!AL21)-LN(RawData!AL20))*100</f>
        <v>7.0209425595571417</v>
      </c>
      <c r="AM20" s="9">
        <f>(LN(RawData!AM21)-LN(RawData!AM20))*100</f>
        <v>1.8093226554029229</v>
      </c>
      <c r="AN20" s="9">
        <f>(LN(RawData!AN21)-LN(RawData!AN20))*100</f>
        <v>2.6831621197501931</v>
      </c>
      <c r="AO20" s="9">
        <f>(LN(RawData!AO21)-LN(RawData!AO20))*100</f>
        <v>6.4800803222393455</v>
      </c>
      <c r="AP20" s="9">
        <f>(LN(RawData!AP21)-LN(RawData!AP20))*100</f>
        <v>1.1512940548584538</v>
      </c>
      <c r="AQ20" s="9">
        <f>(LN(RawData!AQ21)-LN(RawData!AQ20))*100</f>
        <v>6.1796519343252143</v>
      </c>
      <c r="AR20" s="9">
        <f>(LN(RawData!AR21)-LN(RawData!AR20))*100</f>
        <v>5.3091840740790985</v>
      </c>
      <c r="AS20" s="9">
        <f>(LN(RawData!AS21)-LN(RawData!AS20))*100</f>
        <v>3.110746400027864</v>
      </c>
      <c r="AT20" s="9">
        <f>(LN(RawData!AT21)-LN(RawData!AT20))*100</f>
        <v>6.4545750104173294</v>
      </c>
      <c r="AU20" s="9">
        <f>(LN(RawData!AU21)-LN(RawData!AU20))*100</f>
        <v>17.654088213669894</v>
      </c>
      <c r="AV20" s="9">
        <f>(LN(RawData!AV21)-LN(RawData!AV20))*100</f>
        <v>7.2339242701644935</v>
      </c>
      <c r="AW20" s="9">
        <f>(LN(RawData!AW21)-LN(RawData!AW20))*100</f>
        <v>17.194199538842625</v>
      </c>
      <c r="AX20" s="9">
        <f>(LN(RawData!AX21)-LN(RawData!AX20))*100</f>
        <v>4.4599521134919939</v>
      </c>
      <c r="AY20" s="9">
        <f>(LN(RawData!AY21)-LN(RawData!AY20))*100</f>
        <v>2.6204344159104664</v>
      </c>
      <c r="AZ20" s="9">
        <f>(LN(RawData!AZ21)-LN(RawData!AZ20))*100</f>
        <v>8.0070093351686467</v>
      </c>
      <c r="BA20" s="9">
        <f>(LN(RawData!BA21)-LN(RawData!BA20))*100</f>
        <v>4.2028659190417983</v>
      </c>
      <c r="BB20" s="9">
        <f>(LN(RawData!BB21)-LN(RawData!BB20))*100</f>
        <v>2.4279086159321395</v>
      </c>
      <c r="BC20" s="9">
        <f>(LN(RawData!BC21)-LN(RawData!BC20))*100</f>
        <v>5.4849206339799395</v>
      </c>
    </row>
    <row r="21" spans="1:55" ht="16" x14ac:dyDescent="0.2">
      <c r="A21" s="10">
        <v>2018</v>
      </c>
      <c r="B21" s="9">
        <f>(LN(RawData!B22)-LN(RawData!B21))*100</f>
        <v>32.437134910283305</v>
      </c>
      <c r="C21" s="9">
        <f>(LN(RawData!C22)-LN(RawData!C21))*100</f>
        <v>-2.6522599739838171</v>
      </c>
      <c r="D21" s="9">
        <f>(LN(RawData!D22)-LN(RawData!D21))*100</f>
        <v>37.987876418544175</v>
      </c>
      <c r="E21" s="9">
        <f>(LN(RawData!E22)-LN(RawData!E21))*100</f>
        <v>4.7263080709587513</v>
      </c>
      <c r="F21" s="9">
        <f>(LN(RawData!F22)-LN(RawData!F21))*100</f>
        <v>2.8649292793275549</v>
      </c>
      <c r="G21" s="9">
        <f>(LN(RawData!G22)-LN(RawData!G21))*100</f>
        <v>2.5888269663589369</v>
      </c>
      <c r="H21" s="9">
        <f>(LN(RawData!H22)-LN(RawData!H21))*100</f>
        <v>6.1634471946536706</v>
      </c>
      <c r="I21" s="9">
        <f>(LN(RawData!I22)-LN(RawData!I21))*100</f>
        <v>1.7679460871018904</v>
      </c>
      <c r="J21" s="9">
        <f>(LN(RawData!J22)-LN(RawData!J21))*100</f>
        <v>7.1624137958140821</v>
      </c>
      <c r="K21" s="9">
        <f>(LN(RawData!K22)-LN(RawData!K21))*100</f>
        <v>4.3436537120886243</v>
      </c>
      <c r="L21" s="9">
        <f>(LN(RawData!L22)-LN(RawData!L21))*100</f>
        <v>2.7060182621088558</v>
      </c>
      <c r="M21" s="9">
        <f>(LN(RawData!M22)-LN(RawData!M21))*100</f>
        <v>4.845891361190624</v>
      </c>
      <c r="N21" s="9">
        <f>(LN(RawData!N22)-LN(RawData!N21))*100</f>
        <v>9.9716335864926009</v>
      </c>
      <c r="O21" s="9">
        <f>(LN(RawData!O22)-LN(RawData!O21))*100</f>
        <v>6.5317347453252239</v>
      </c>
      <c r="P21" s="9">
        <f>(LN(RawData!P22)-LN(RawData!P21))*100</f>
        <v>8.4702288553945237</v>
      </c>
      <c r="Q21" s="9">
        <f>(LN(RawData!Q22)-LN(RawData!Q21))*100</f>
        <v>2.8352213255558922</v>
      </c>
      <c r="R21" s="9">
        <f>(LN(RawData!R22)-LN(RawData!R21))*100</f>
        <v>1.8478869857158742</v>
      </c>
      <c r="S21" s="9">
        <f>(LN(RawData!S22)-LN(RawData!S21))*100</f>
        <v>3.7567789783736316</v>
      </c>
      <c r="T21" s="9">
        <f>(LN(RawData!T22)-LN(RawData!T21))*100</f>
        <v>2.9640577710637217</v>
      </c>
      <c r="U21" s="9">
        <f>(LN(RawData!U22)-LN(RawData!U21))*100</f>
        <v>0.9764497805143435</v>
      </c>
      <c r="V21" s="9">
        <f>(LN(RawData!V22)-LN(RawData!V21))*100</f>
        <v>3.7567789783736316</v>
      </c>
      <c r="W21" s="9">
        <f>(LN(RawData!W22)-LN(RawData!W21))*100</f>
        <v>10.064840346413462</v>
      </c>
      <c r="X21" s="9">
        <f>(LN(RawData!X22)-LN(RawData!X21))*100</f>
        <v>6.254138454639957</v>
      </c>
      <c r="Y21" s="9">
        <f>(LN(RawData!Y22)-LN(RawData!Y21))*100</f>
        <v>9.5623179871076047</v>
      </c>
      <c r="Z21" s="9">
        <f>(LN(RawData!Z22)-LN(RawData!Z21))*100</f>
        <v>8.7921004258511459</v>
      </c>
      <c r="AA21" s="9">
        <f>(LN(RawData!AA22)-LN(RawData!AA21))*100</f>
        <v>5.0448707450122754</v>
      </c>
      <c r="AB21" s="9">
        <f>(LN(RawData!AB22)-LN(RawData!AB21))*100</f>
        <v>6.650149637084013</v>
      </c>
      <c r="AC21" s="9">
        <f>(LN(RawData!AC22)-LN(RawData!AC21))*100</f>
        <v>1.9840193955609209</v>
      </c>
      <c r="AD21" s="9">
        <f>(LN(RawData!AD22)-LN(RawData!AD21))*100</f>
        <v>0.92155158042181995</v>
      </c>
      <c r="AE21" s="9">
        <f>(LN(RawData!AE22)-LN(RawData!AE21))*100</f>
        <v>3.7567789783736316</v>
      </c>
      <c r="AF21" s="9">
        <f>(LN(RawData!AF22)-LN(RawData!AF21))*100</f>
        <v>0.6410925918928001</v>
      </c>
      <c r="AG21" s="9">
        <f>(LN(RawData!AG22)-LN(RawData!AG21))*100</f>
        <v>0.64133009856206513</v>
      </c>
      <c r="AH21" s="9">
        <f>(LN(RawData!AH22)-LN(RawData!AH21))*100</f>
        <v>2.4979739144679769</v>
      </c>
      <c r="AI21" s="9">
        <f>(LN(RawData!AI22)-LN(RawData!AI21))*100</f>
        <v>7.0264773736635533</v>
      </c>
      <c r="AJ21" s="9">
        <f>(LN(RawData!AJ22)-LN(RawData!AJ21))*100</f>
        <v>1.9528884871910179</v>
      </c>
      <c r="AK21" s="9">
        <f>(LN(RawData!AK22)-LN(RawData!AK21))*100</f>
        <v>6.5345683539817401</v>
      </c>
      <c r="AL21" s="9">
        <f>(LN(RawData!AL22)-LN(RawData!AL21))*100</f>
        <v>12.297743130034178</v>
      </c>
      <c r="AM21" s="9">
        <f>(LN(RawData!AM22)-LN(RawData!AM21))*100</f>
        <v>2.7685645197152553</v>
      </c>
      <c r="AN21" s="9">
        <f>(LN(RawData!AN22)-LN(RawData!AN21))*100</f>
        <v>8.9168712516249471</v>
      </c>
      <c r="AO21" s="9">
        <f>(LN(RawData!AO22)-LN(RawData!AO21))*100</f>
        <v>5.4604143571705066</v>
      </c>
      <c r="AP21" s="9">
        <f>(LN(RawData!AP22)-LN(RawData!AP21))*100</f>
        <v>1.5447902832356419</v>
      </c>
      <c r="AQ21" s="9">
        <f>(LN(RawData!AQ22)-LN(RawData!AQ21))*100</f>
        <v>5.9992660121160668</v>
      </c>
      <c r="AR21" s="9">
        <f>(LN(RawData!AR22)-LN(RawData!AR21))*100</f>
        <v>3.3477270674957538</v>
      </c>
      <c r="AS21" s="9">
        <f>(LN(RawData!AS22)-LN(RawData!AS21))*100</f>
        <v>2.8659405417791106</v>
      </c>
      <c r="AT21" s="9">
        <f>(LN(RawData!AT22)-LN(RawData!AT21))*100</f>
        <v>6.7800758832447627</v>
      </c>
      <c r="AU21" s="9">
        <f>(LN(RawData!AU22)-LN(RawData!AU21))*100</f>
        <v>18.251323889785809</v>
      </c>
      <c r="AV21" s="9">
        <f>(LN(RawData!AV22)-LN(RawData!AV21))*100</f>
        <v>2.9686754331684995</v>
      </c>
      <c r="AW21" s="9">
        <f>(LN(RawData!AW22)-LN(RawData!AW21))*100</f>
        <v>18.097793549022079</v>
      </c>
      <c r="AX21" s="9">
        <f>(LN(RawData!AX22)-LN(RawData!AX21))*100</f>
        <v>3.2978444699125475</v>
      </c>
      <c r="AY21" s="9">
        <f>(LN(RawData!AY22)-LN(RawData!AY21))*100</f>
        <v>1.3940301766435681</v>
      </c>
      <c r="AZ21" s="9">
        <f>(LN(RawData!AZ22)-LN(RawData!AZ21))*100</f>
        <v>3.4152208233173553</v>
      </c>
      <c r="BA21" s="9">
        <f>(LN(RawData!BA22)-LN(RawData!BA21))*100</f>
        <v>5.1883989754568205</v>
      </c>
      <c r="BB21" s="9">
        <f>(LN(RawData!BB22)-LN(RawData!BB21))*100</f>
        <v>2.9233555869282668</v>
      </c>
      <c r="BC21" s="9">
        <f>(LN(RawData!BC22)-LN(RawData!BC21))*100</f>
        <v>3.7405109069329256</v>
      </c>
    </row>
    <row r="22" spans="1:55" ht="16" x14ac:dyDescent="0.2">
      <c r="A22" s="10">
        <v>2019</v>
      </c>
      <c r="B22" s="9">
        <f>(LN(RawData!B23)-LN(RawData!B22))*100</f>
        <v>37.987637727558266</v>
      </c>
      <c r="C22" s="9">
        <f>(LN(RawData!C23)-LN(RawData!C22))*100</f>
        <v>-2.0211493099562716</v>
      </c>
      <c r="D22" s="9">
        <f>(LN(RawData!D23)-LN(RawData!D22))*100</f>
        <v>28.410491267687021</v>
      </c>
      <c r="E22" s="9">
        <f>(LN(RawData!E23)-LN(RawData!E22))*100</f>
        <v>5.5627492600216044</v>
      </c>
      <c r="F22" s="9">
        <f>(LN(RawData!F23)-LN(RawData!F22))*100</f>
        <v>2.1576632290077669</v>
      </c>
      <c r="G22" s="9">
        <f>(LN(RawData!G23)-LN(RawData!G22))*100</f>
        <v>2.9665889203407403</v>
      </c>
      <c r="H22" s="9">
        <f>(LN(RawData!H23)-LN(RawData!H22))*100</f>
        <v>5.350859113157469</v>
      </c>
      <c r="I22" s="9">
        <f>(LN(RawData!I23)-LN(RawData!I22))*100</f>
        <v>1.2133864253677018</v>
      </c>
      <c r="J22" s="9">
        <f>(LN(RawData!J23)-LN(RawData!J22))*100</f>
        <v>8.1386206578354603</v>
      </c>
      <c r="K22" s="9">
        <f>(LN(RawData!K23)-LN(RawData!K22))*100</f>
        <v>3.4246906447659597</v>
      </c>
      <c r="L22" s="9">
        <f>(LN(RawData!L23)-LN(RawData!L22))*100</f>
        <v>1.8904497876988557</v>
      </c>
      <c r="M22" s="9">
        <f>(LN(RawData!M23)-LN(RawData!M22))*100</f>
        <v>7.444703797052199</v>
      </c>
      <c r="N22" s="9">
        <f>(LN(RawData!N23)-LN(RawData!N22))*100</f>
        <v>7.0586752518835283</v>
      </c>
      <c r="O22" s="9">
        <f>(LN(RawData!O23)-LN(RawData!O22))*100</f>
        <v>5.7801825035710408</v>
      </c>
      <c r="P22" s="9">
        <f>(LN(RawData!P23)-LN(RawData!P22))*100</f>
        <v>8.0378307201389276</v>
      </c>
      <c r="Q22" s="9">
        <f>(LN(RawData!Q23)-LN(RawData!Q22))*100</f>
        <v>3.0966820747867274</v>
      </c>
      <c r="R22" s="9">
        <f>(LN(RawData!R23)-LN(RawData!R22))*100</f>
        <v>1.8261949045616177</v>
      </c>
      <c r="S22" s="9">
        <f>(LN(RawData!S23)-LN(RawData!S22))*100</f>
        <v>5.0580665276445558</v>
      </c>
      <c r="T22" s="9">
        <f>(LN(RawData!T23)-LN(RawData!T22))*100</f>
        <v>3.1776647380983292</v>
      </c>
      <c r="U22" s="9">
        <f>(LN(RawData!U23)-LN(RawData!U22))*100</f>
        <v>1.0697295723890221</v>
      </c>
      <c r="V22" s="9">
        <f>(LN(RawData!V23)-LN(RawData!V22))*100</f>
        <v>5.0580665276445558</v>
      </c>
      <c r="W22" s="9">
        <f>(LN(RawData!W23)-LN(RawData!W22))*100</f>
        <v>6.1754168878408677</v>
      </c>
      <c r="X22" s="9">
        <f>(LN(RawData!X23)-LN(RawData!X22))*100</f>
        <v>3.7983765186069718</v>
      </c>
      <c r="Y22" s="9">
        <f>(LN(RawData!Y23)-LN(RawData!Y22))*100</f>
        <v>9.7622235103081323</v>
      </c>
      <c r="Z22" s="9">
        <f>(LN(RawData!Z23)-LN(RawData!Z22))*100</f>
        <v>6.4832311570533818</v>
      </c>
      <c r="AA22" s="9">
        <f>(LN(RawData!AA23)-LN(RawData!AA22))*100</f>
        <v>4.8973839494969695</v>
      </c>
      <c r="AB22" s="9">
        <f>(LN(RawData!AB23)-LN(RawData!AB22))*100</f>
        <v>6.5417075028744165</v>
      </c>
      <c r="AC22" s="9">
        <f>(LN(RawData!AC23)-LN(RawData!AC22))*100</f>
        <v>1.4157758325477943</v>
      </c>
      <c r="AD22" s="9">
        <f>(LN(RawData!AD23)-LN(RawData!AD22))*100</f>
        <v>0.48203466053671207</v>
      </c>
      <c r="AE22" s="9">
        <f>(LN(RawData!AE23)-LN(RawData!AE22))*100</f>
        <v>5.0580665276445558</v>
      </c>
      <c r="AF22" s="9">
        <f>(LN(RawData!AF23)-LN(RawData!AF22))*100</f>
        <v>0.22981670097053097</v>
      </c>
      <c r="AG22" s="9">
        <f>(LN(RawData!AG23)-LN(RawData!AG22))*100</f>
        <v>-0.40298007603141173</v>
      </c>
      <c r="AH22" s="9">
        <f>(LN(RawData!AH23)-LN(RawData!AH22))*100</f>
        <v>2.0018953318274413</v>
      </c>
      <c r="AI22" s="9">
        <f>(LN(RawData!AI23)-LN(RawData!AI22))*100</f>
        <v>3.9195701405027705</v>
      </c>
      <c r="AJ22" s="9">
        <f>(LN(RawData!AJ23)-LN(RawData!AJ22))*100</f>
        <v>-0.25165213345879067</v>
      </c>
      <c r="AK22" s="9">
        <f>(LN(RawData!AK23)-LN(RawData!AK22))*100</f>
        <v>6.3954756299029469</v>
      </c>
      <c r="AL22" s="9">
        <f>(LN(RawData!AL23)-LN(RawData!AL22))*100</f>
        <v>5.3852895103396747</v>
      </c>
      <c r="AM22" s="9">
        <f>(LN(RawData!AM23)-LN(RawData!AM22))*100</f>
        <v>2.174266296775329</v>
      </c>
      <c r="AN22" s="9">
        <f>(LN(RawData!AN23)-LN(RawData!AN22))*100</f>
        <v>8.1316614844531898</v>
      </c>
      <c r="AO22" s="9">
        <f>(LN(RawData!AO23)-LN(RawData!AO22))*100</f>
        <v>4.7698639715392233</v>
      </c>
      <c r="AP22" s="9">
        <f>(LN(RawData!AP23)-LN(RawData!AP22))*100</f>
        <v>0.25959832864792531</v>
      </c>
      <c r="AQ22" s="9">
        <f>(LN(RawData!AQ23)-LN(RawData!AQ22))*100</f>
        <v>6.9794633789712179</v>
      </c>
      <c r="AR22" s="9">
        <f>(LN(RawData!AR23)-LN(RawData!AR22))*100</f>
        <v>1.3763036195186373</v>
      </c>
      <c r="AS22" s="9">
        <f>(LN(RawData!AS23)-LN(RawData!AS22))*100</f>
        <v>2.2191710966730227</v>
      </c>
      <c r="AT22" s="9">
        <f>(LN(RawData!AT23)-LN(RawData!AT22))*100</f>
        <v>7.6431170323154163</v>
      </c>
      <c r="AU22" s="9">
        <f>(LN(RawData!AU23)-LN(RawData!AU22))*100</f>
        <v>13.801931356006136</v>
      </c>
      <c r="AV22" s="9">
        <f>(LN(RawData!AV23)-LN(RawData!AV22))*100</f>
        <v>0.8151941811725294</v>
      </c>
      <c r="AW22" s="9">
        <f>(LN(RawData!AW23)-LN(RawData!AW22))*100</f>
        <v>19.399453046361437</v>
      </c>
      <c r="AX22" s="9">
        <f>(LN(RawData!AX23)-LN(RawData!AX22))*100</f>
        <v>3.7219441180155854</v>
      </c>
      <c r="AY22" s="9">
        <f>(LN(RawData!AY23)-LN(RawData!AY22))*100</f>
        <v>1.6282822360778937</v>
      </c>
      <c r="AZ22" s="9">
        <f>(LN(RawData!AZ23)-LN(RawData!AZ22))*100</f>
        <v>1.1851625388860754</v>
      </c>
      <c r="BA22" s="9">
        <f>(LN(RawData!BA23)-LN(RawData!BA22))*100</f>
        <v>4.1016742185270516</v>
      </c>
      <c r="BB22" s="9">
        <f>(LN(RawData!BB23)-LN(RawData!BB22))*100</f>
        <v>2.4370976121044663</v>
      </c>
      <c r="BC22" s="9">
        <f>(LN(RawData!BC23)-LN(RawData!BC22))*100</f>
        <v>4.9821779417243306</v>
      </c>
    </row>
    <row r="23" spans="1:55" ht="16" x14ac:dyDescent="0.2">
      <c r="A23" s="10">
        <v>2020</v>
      </c>
      <c r="B23" s="9">
        <f>(LN(RawData!B24)-LN(RawData!B23))*100</f>
        <v>23.281014264548006</v>
      </c>
      <c r="C23" s="9">
        <f>(LN(RawData!C24)-LN(RawData!C23))*100</f>
        <v>-10.425540222785656</v>
      </c>
      <c r="D23" s="9">
        <f>(LN(RawData!D24)-LN(RawData!D23))*100</f>
        <v>41.054595350770384</v>
      </c>
      <c r="E23" s="9">
        <f>(LN(RawData!E24)-LN(RawData!E23))*100</f>
        <v>1.7565463932502468</v>
      </c>
      <c r="F23" s="9">
        <f>(LN(RawData!F24)-LN(RawData!F23))*100</f>
        <v>-0.33524768705426311</v>
      </c>
      <c r="G23" s="9">
        <f>(LN(RawData!G24)-LN(RawData!G23))*100</f>
        <v>8.4156936311496011</v>
      </c>
      <c r="H23" s="9">
        <f>(LN(RawData!H24)-LN(RawData!H23))*100</f>
        <v>2.9400077129277946</v>
      </c>
      <c r="I23" s="9">
        <f>(LN(RawData!I24)-LN(RawData!I23))*100</f>
        <v>-3.3316469040329366</v>
      </c>
      <c r="J23" s="9">
        <f>(LN(RawData!J24)-LN(RawData!J23))*100</f>
        <v>12.98466846040629</v>
      </c>
      <c r="K23" s="9">
        <f>(LN(RawData!K24)-LN(RawData!K23))*100</f>
        <v>-4.1044655705618993</v>
      </c>
      <c r="L23" s="9">
        <f>(LN(RawData!L24)-LN(RawData!L23))*100</f>
        <v>-5.1695832671885711</v>
      </c>
      <c r="M23" s="9">
        <f>(LN(RawData!M24)-LN(RawData!M23))*100</f>
        <v>12.13069541148144</v>
      </c>
      <c r="N23" s="9">
        <f>(LN(RawData!N24)-LN(RawData!N23))*100</f>
        <v>2.7052337780880009</v>
      </c>
      <c r="O23" s="9">
        <f>(LN(RawData!O24)-LN(RawData!O23))*100</f>
        <v>2.2139486441595579</v>
      </c>
      <c r="P23" s="9">
        <f>(LN(RawData!P24)-LN(RawData!P23))*100</f>
        <v>9.8294814833376876</v>
      </c>
      <c r="Q23" s="9">
        <f>(LN(RawData!Q24)-LN(RawData!Q23))*100</f>
        <v>-5.0396040953199162</v>
      </c>
      <c r="R23" s="9">
        <f>(LN(RawData!R24)-LN(RawData!R23))*100</f>
        <v>-7.8399033506688198</v>
      </c>
      <c r="S23" s="9">
        <f>(LN(RawData!S24)-LN(RawData!S23))*100</f>
        <v>8.3611640117180031</v>
      </c>
      <c r="T23" s="9">
        <f>(LN(RawData!T24)-LN(RawData!T23))*100</f>
        <v>-2.0466441989395179</v>
      </c>
      <c r="U23" s="9">
        <f>(LN(RawData!U24)-LN(RawData!U23))*100</f>
        <v>-3.9019128121314139</v>
      </c>
      <c r="V23" s="9">
        <f>(LN(RawData!V24)-LN(RawData!V23))*100</f>
        <v>8.3611640117180031</v>
      </c>
      <c r="W23" s="9">
        <f>(LN(RawData!W24)-LN(RawData!W23))*100</f>
        <v>-1.2488214394871022</v>
      </c>
      <c r="X23" s="9">
        <f>(LN(RawData!X24)-LN(RawData!X23))*100</f>
        <v>-5.9513564280052833</v>
      </c>
      <c r="Y23" s="9">
        <f>(LN(RawData!Y24)-LN(RawData!Y23))*100</f>
        <v>11.013581036748832</v>
      </c>
      <c r="Z23" s="9">
        <f>(LN(RawData!Z24)-LN(RawData!Z23))*100</f>
        <v>-2.4896021119680256</v>
      </c>
      <c r="AA23" s="9">
        <f>(LN(RawData!AA24)-LN(RawData!AA23))*100</f>
        <v>-2.0871418909791828</v>
      </c>
      <c r="AB23" s="9">
        <f>(LN(RawData!AB24)-LN(RawData!AB23))*100</f>
        <v>10.160310577417775</v>
      </c>
      <c r="AC23" s="9">
        <f>(LN(RawData!AC24)-LN(RawData!AC23))*100</f>
        <v>-7.8358793812807193</v>
      </c>
      <c r="AD23" s="9">
        <f>(LN(RawData!AD24)-LN(RawData!AD23))*100</f>
        <v>-9.4027116608735639</v>
      </c>
      <c r="AE23" s="9">
        <f>(LN(RawData!AE24)-LN(RawData!AE23))*100</f>
        <v>8.3611640117180031</v>
      </c>
      <c r="AF23" s="9">
        <f>(LN(RawData!AF24)-LN(RawData!AF23))*100</f>
        <v>-3.2985201692113719</v>
      </c>
      <c r="AG23" s="9">
        <f>(LN(RawData!AG24)-LN(RawData!AG23))*100</f>
        <v>-4.2355658518104633</v>
      </c>
      <c r="AH23" s="9">
        <f>(LN(RawData!AH24)-LN(RawData!AH23))*100</f>
        <v>5.2279925540574368</v>
      </c>
      <c r="AI23" s="9">
        <f>(LN(RawData!AI24)-LN(RawData!AI23))*100</f>
        <v>-4.3128885145613083</v>
      </c>
      <c r="AJ23" s="9">
        <f>(LN(RawData!AJ24)-LN(RawData!AJ23))*100</f>
        <v>-9.0193405886754618</v>
      </c>
      <c r="AK23" s="9">
        <f>(LN(RawData!AK24)-LN(RawData!AK23))*100</f>
        <v>8.8336690223957959</v>
      </c>
      <c r="AL23" s="9">
        <f>(LN(RawData!AL24)-LN(RawData!AL23))*100</f>
        <v>-1.7952636748063355</v>
      </c>
      <c r="AM23" s="9">
        <f>(LN(RawData!AM24)-LN(RawData!AM23))*100</f>
        <v>-2.6894994689904195</v>
      </c>
      <c r="AN23" s="9">
        <f>(LN(RawData!AN24)-LN(RawData!AN23))*100</f>
        <v>11.753078844471787</v>
      </c>
      <c r="AO23" s="9">
        <f>(LN(RawData!AO24)-LN(RawData!AO23))*100</f>
        <v>-1.022648428499906</v>
      </c>
      <c r="AP23" s="9">
        <f>(LN(RawData!AP24)-LN(RawData!AP23))*100</f>
        <v>-6.1485673123922169</v>
      </c>
      <c r="AQ23" s="9">
        <f>(LN(RawData!AQ24)-LN(RawData!AQ23))*100</f>
        <v>9.1266293700854817</v>
      </c>
      <c r="AR23" s="9">
        <f>(LN(RawData!AR24)-LN(RawData!AR23))*100</f>
        <v>0.83970264564356967</v>
      </c>
      <c r="AS23" s="9">
        <f>(LN(RawData!AS24)-LN(RawData!AS23))*100</f>
        <v>-0.71194367475939657</v>
      </c>
      <c r="AT23" s="9">
        <f>(LN(RawData!AT24)-LN(RawData!AT23))*100</f>
        <v>7.941614628300897</v>
      </c>
      <c r="AU23" s="9">
        <f>(LN(RawData!AU24)-LN(RawData!AU23))*100</f>
        <v>15.635630944706236</v>
      </c>
      <c r="AV23" s="9">
        <f>(LN(RawData!AV24)-LN(RawData!AV23))*100</f>
        <v>1.8427561640457668</v>
      </c>
      <c r="AW23" s="9">
        <f>(LN(RawData!AW24)-LN(RawData!AW23))*100</f>
        <v>31.637642933943511</v>
      </c>
      <c r="AX23" s="9">
        <f>(LN(RawData!AX24)-LN(RawData!AX23))*100</f>
        <v>-5.9781169806168322</v>
      </c>
      <c r="AY23" s="9">
        <f>(LN(RawData!AY24)-LN(RawData!AY23))*100</f>
        <v>-10.936743061666476</v>
      </c>
      <c r="AZ23" s="9">
        <f>(LN(RawData!AZ24)-LN(RawData!AZ23))*100</f>
        <v>8.6971491625785546</v>
      </c>
      <c r="BA23" s="9">
        <f>(LN(RawData!BA24)-LN(RawData!BA23))*100</f>
        <v>-0.92635991571690113</v>
      </c>
      <c r="BB23" s="9">
        <f>(LN(RawData!BB24)-LN(RawData!BB23))*100</f>
        <v>-2.2383341672387758</v>
      </c>
      <c r="BC23" s="9">
        <f>(LN(RawData!BC24)-LN(RawData!BC23))*100</f>
        <v>17.452792558579588</v>
      </c>
    </row>
    <row r="24" spans="1:55" ht="16" x14ac:dyDescent="0.2">
      <c r="A24" s="10">
        <v>2021</v>
      </c>
      <c r="B24" s="9">
        <f>(LN(RawData!B25)-LN(RawData!B24))*100</f>
        <v>53.256217163868413</v>
      </c>
      <c r="C24" s="9">
        <f>(LN(RawData!C25)-LN(RawData!C24))*100</f>
        <v>10.181633185511885</v>
      </c>
      <c r="D24" s="9">
        <f>(LN(RawData!D25)-LN(RawData!D24))*100</f>
        <v>40.279576857996346</v>
      </c>
      <c r="E24" s="9">
        <f>(LN(RawData!E25)-LN(RawData!E24))*100</f>
        <v>5.1221715617469243</v>
      </c>
      <c r="F24" s="9">
        <f>(LN(RawData!F25)-LN(RawData!F24))*100</f>
        <v>2.0898407976350342</v>
      </c>
      <c r="G24" s="9">
        <f>(LN(RawData!G25)-LN(RawData!G24))*100</f>
        <v>8.3719014098965872</v>
      </c>
      <c r="H24" s="9">
        <f>(LN(RawData!H25)-LN(RawData!H24))*100</f>
        <v>16.916256537927765</v>
      </c>
      <c r="I24" s="9">
        <f>(LN(RawData!I25)-LN(RawData!I24))*100</f>
        <v>4.6526693776598904</v>
      </c>
      <c r="J24" s="9">
        <f>(LN(RawData!J25)-LN(RawData!J24))*100</f>
        <v>12.334924875396069</v>
      </c>
      <c r="K24" s="9">
        <f>(LN(RawData!K25)-LN(RawData!K24))*100</f>
        <v>12.537247790283246</v>
      </c>
      <c r="L24" s="9">
        <f>(LN(RawData!L25)-LN(RawData!L24))*100</f>
        <v>5.1519359298012546</v>
      </c>
      <c r="M24" s="9">
        <f>(LN(RawData!M25)-LN(RawData!M24))*100</f>
        <v>6.797344069200939</v>
      </c>
      <c r="N24" s="9">
        <f>(LN(RawData!N25)-LN(RawData!N24))*100</f>
        <v>12.56224308295586</v>
      </c>
      <c r="O24" s="9">
        <f>(LN(RawData!O25)-LN(RawData!O24))*100</f>
        <v>8.1104937924457943</v>
      </c>
      <c r="P24" s="9">
        <f>(LN(RawData!P25)-LN(RawData!P24))*100</f>
        <v>8.3612744945405382</v>
      </c>
      <c r="Q24" s="9">
        <f>(LN(RawData!Q25)-LN(RawData!Q24))*100</f>
        <v>7.6505307184415727</v>
      </c>
      <c r="R24" s="9">
        <f>(LN(RawData!R25)-LN(RawData!R24))*100</f>
        <v>6.2366253669402738</v>
      </c>
      <c r="S24" s="9">
        <f>(LN(RawData!S25)-LN(RawData!S24))*100</f>
        <v>8.2332548584712839</v>
      </c>
      <c r="T24" s="9">
        <f>(LN(RawData!T25)-LN(RawData!T24))*100</f>
        <v>6.0897468611539551</v>
      </c>
      <c r="U24" s="9">
        <f>(LN(RawData!U25)-LN(RawData!U24))*100</f>
        <v>3.1148023633260635</v>
      </c>
      <c r="V24" s="9">
        <f>(LN(RawData!V25)-LN(RawData!V24))*100</f>
        <v>8.2332548584712839</v>
      </c>
      <c r="W24" s="9">
        <f>(LN(RawData!W25)-LN(RawData!W24))*100</f>
        <v>17.272614032273026</v>
      </c>
      <c r="X24" s="9">
        <f>(LN(RawData!X25)-LN(RawData!X24))*100</f>
        <v>9.2484304339471635</v>
      </c>
      <c r="Y24" s="9">
        <f>(LN(RawData!Y25)-LN(RawData!Y24))*100</f>
        <v>10.150870919475352</v>
      </c>
      <c r="Z24" s="9">
        <f>(LN(RawData!Z25)-LN(RawData!Z24))*100</f>
        <v>9.4666146197191381</v>
      </c>
      <c r="AA24" s="9">
        <f>(LN(RawData!AA25)-LN(RawData!AA24))*100</f>
        <v>3.6359755555288586</v>
      </c>
      <c r="AB24" s="9">
        <f>(LN(RawData!AB25)-LN(RawData!AB24))*100</f>
        <v>9.6524843656194292</v>
      </c>
      <c r="AC24" s="9">
        <f>(LN(RawData!AC25)-LN(RawData!AC24))*100</f>
        <v>9.2334712500630189</v>
      </c>
      <c r="AD24" s="9">
        <f>(LN(RawData!AD25)-LN(RawData!AD24))*100</f>
        <v>7.9829514866812445</v>
      </c>
      <c r="AE24" s="9">
        <f>(LN(RawData!AE25)-LN(RawData!AE24))*100</f>
        <v>8.2332548584712839</v>
      </c>
      <c r="AF24" s="9">
        <f>(LN(RawData!AF25)-LN(RawData!AF24))*100</f>
        <v>2.3368764531625175</v>
      </c>
      <c r="AG24" s="9">
        <f>(LN(RawData!AG25)-LN(RawData!AG24))*100</f>
        <v>2.5271179224084506</v>
      </c>
      <c r="AH24" s="9">
        <f>(LN(RawData!AH25)-LN(RawData!AH24))*100</f>
        <v>5.3847581687399781</v>
      </c>
      <c r="AI24" s="9">
        <f>(LN(RawData!AI25)-LN(RawData!AI24))*100</f>
        <v>10.017352653024147</v>
      </c>
      <c r="AJ24" s="9">
        <f>(LN(RawData!AJ25)-LN(RawData!AJ24))*100</f>
        <v>5.5805577914728843</v>
      </c>
      <c r="AK24" s="9">
        <f>(LN(RawData!AK25)-LN(RawData!AK24))*100</f>
        <v>6.2568076883067647</v>
      </c>
      <c r="AL24" s="9">
        <f>(LN(RawData!AL25)-LN(RawData!AL24))*100</f>
        <v>23.202957273430513</v>
      </c>
      <c r="AM24" s="9">
        <f>(LN(RawData!AM25)-LN(RawData!AM24))*100</f>
        <v>5.4623501656649864</v>
      </c>
      <c r="AN24" s="9">
        <f>(LN(RawData!AN25)-LN(RawData!AN24))*100</f>
        <v>10.884087983126278</v>
      </c>
      <c r="AO24" s="9">
        <f>(LN(RawData!AO25)-LN(RawData!AO24))*100</f>
        <v>10.893418211333383</v>
      </c>
      <c r="AP24" s="9">
        <f>(LN(RawData!AP25)-LN(RawData!AP24))*100</f>
        <v>4.5958177543429457</v>
      </c>
      <c r="AQ24" s="9">
        <f>(LN(RawData!AQ25)-LN(RawData!AQ24))*100</f>
        <v>3.8436898116943397</v>
      </c>
      <c r="AR24" s="9">
        <f>(LN(RawData!AR25)-LN(RawData!AR24))*100</f>
        <v>6.9401088923932264</v>
      </c>
      <c r="AS24" s="9">
        <f>(LN(RawData!AS25)-LN(RawData!AS24))*100</f>
        <v>4.21465711442508</v>
      </c>
      <c r="AT24" s="9">
        <f>(LN(RawData!AT25)-LN(RawData!AT24))*100</f>
        <v>8.8443834765779883</v>
      </c>
      <c r="AU24" s="9">
        <f>(LN(RawData!AU25)-LN(RawData!AU24))*100</f>
        <v>36.274364391351099</v>
      </c>
      <c r="AV24" s="9">
        <f>(LN(RawData!AV25)-LN(RawData!AV24))*100</f>
        <v>10.831062251202894</v>
      </c>
      <c r="AW24" s="9">
        <f>(LN(RawData!AW25)-LN(RawData!AW24))*100</f>
        <v>25.39040560951662</v>
      </c>
      <c r="AX24" s="9">
        <f>(LN(RawData!AX25)-LN(RawData!AX24))*100</f>
        <v>8.1985711999692512</v>
      </c>
      <c r="AY24" s="9">
        <f>(LN(RawData!AY25)-LN(RawData!AY24))*100</f>
        <v>8.3190708571454053</v>
      </c>
      <c r="AZ24" s="9">
        <f>(LN(RawData!AZ25)-LN(RawData!AZ24))*100</f>
        <v>7.5086969532765835</v>
      </c>
      <c r="BA24" s="9">
        <f>(LN(RawData!BA25)-LN(RawData!BA24))*100</f>
        <v>10.12097988566083</v>
      </c>
      <c r="BB24" s="9">
        <f>(LN(RawData!BB25)-LN(RawData!BB24))*100</f>
        <v>5.6382281718306615</v>
      </c>
      <c r="BC24" s="9">
        <f>(LN(RawData!BC25)-LN(RawData!BC24))*100</f>
        <v>14.942633270646155</v>
      </c>
    </row>
    <row r="25" spans="1:55" ht="16" x14ac:dyDescent="0.2">
      <c r="A25" s="10">
        <v>2022</v>
      </c>
      <c r="B25" s="9">
        <f>(LN(RawData!B26)-LN(RawData!B25))*100</f>
        <v>57.588760189716126</v>
      </c>
      <c r="C25" s="9">
        <f>(LN(RawData!C26)-LN(RawData!C25))*100</f>
        <v>4.8374553625642136</v>
      </c>
      <c r="D25" s="9">
        <f>(LN(RawData!D26)-LN(RawData!D25))*100</f>
        <v>49.284427987440793</v>
      </c>
      <c r="E25" s="9">
        <f>(LN(RawData!E26)-LN(RawData!E25))*100</f>
        <v>11.061162601593821</v>
      </c>
      <c r="F25" s="9">
        <f>(LN(RawData!F26)-LN(RawData!F25))*100</f>
        <v>4.1803398163708039</v>
      </c>
      <c r="G25" s="9">
        <f>(LN(RawData!G26)-LN(RawData!G25))*100</f>
        <v>8.1661951842750824</v>
      </c>
      <c r="H25" s="9">
        <f>(LN(RawData!H26)-LN(RawData!H25))*100</f>
        <v>11.194840743798906</v>
      </c>
      <c r="I25" s="9">
        <f>(LN(RawData!I26)-LN(RawData!I25))*100</f>
        <v>2.9720870213939321</v>
      </c>
      <c r="J25" s="9">
        <f>(LN(RawData!J26)-LN(RawData!J25))*100</f>
        <v>10.206975427764498</v>
      </c>
      <c r="K25" s="9">
        <f>(LN(RawData!K26)-LN(RawData!K25))*100</f>
        <v>11.123767886292057</v>
      </c>
      <c r="L25" s="9">
        <f>(LN(RawData!L26)-LN(RawData!L25))*100</f>
        <v>3.7487156981285352</v>
      </c>
      <c r="M25" s="9">
        <f>(LN(RawData!M26)-LN(RawData!M25))*100</f>
        <v>8.1522870941501679</v>
      </c>
      <c r="N25" s="9">
        <f>(LN(RawData!N26)-LN(RawData!N25))*100</f>
        <v>4.7152269760800891</v>
      </c>
      <c r="O25" s="9">
        <f>(LN(RawData!O26)-LN(RawData!O25))*100</f>
        <v>2.9452816879029342</v>
      </c>
      <c r="P25" s="9">
        <f>(LN(RawData!P26)-LN(RawData!P25))*100</f>
        <v>10.60418023744063</v>
      </c>
      <c r="Q25" s="9">
        <f>(LN(RawData!Q26)-LN(RawData!Q25))*100</f>
        <v>5.329734540077169</v>
      </c>
      <c r="R25" s="9">
        <f>(LN(RawData!R26)-LN(RawData!R25))*100</f>
        <v>2.4251131509082313</v>
      </c>
      <c r="S25" s="9">
        <f>(LN(RawData!S26)-LN(RawData!S25))*100</f>
        <v>5.7360059994845614</v>
      </c>
      <c r="T25" s="9">
        <f>(LN(RawData!T26)-LN(RawData!T25))*100</f>
        <v>6.9243292795853506</v>
      </c>
      <c r="U25" s="9">
        <f>(LN(RawData!U26)-LN(RawData!U25))*100</f>
        <v>1.7900908088083867</v>
      </c>
      <c r="V25" s="9">
        <f>(LN(RawData!V26)-LN(RawData!V25))*100</f>
        <v>5.7360059994845614</v>
      </c>
      <c r="W25" s="9">
        <f>(LN(RawData!W26)-LN(RawData!W25))*100</f>
        <v>13.283368254540306</v>
      </c>
      <c r="X25" s="9">
        <f>(LN(RawData!X26)-LN(RawData!X25))*100</f>
        <v>6.753751334061775</v>
      </c>
      <c r="Y25" s="9">
        <f>(LN(RawData!Y26)-LN(RawData!Y25))*100</f>
        <v>8.3685168173378344</v>
      </c>
      <c r="Z25" s="9">
        <f>(LN(RawData!Z26)-LN(RawData!Z25))*100</f>
        <v>14.307687999386332</v>
      </c>
      <c r="AA25" s="9">
        <f>(LN(RawData!AA26)-LN(RawData!AA25))*100</f>
        <v>5.1713689812707742</v>
      </c>
      <c r="AB25" s="9">
        <f>(LN(RawData!AB26)-LN(RawData!AB25))*100</f>
        <v>10.321141706071657</v>
      </c>
      <c r="AC25" s="9">
        <f>(LN(RawData!AC26)-LN(RawData!AC25))*100</f>
        <v>7.4496455401767747</v>
      </c>
      <c r="AD25" s="9">
        <f>(LN(RawData!AD26)-LN(RawData!AD25))*100</f>
        <v>3.908510244430019</v>
      </c>
      <c r="AE25" s="9">
        <f>(LN(RawData!AE26)-LN(RawData!AE25))*100</f>
        <v>5.7360059994845614</v>
      </c>
      <c r="AF25" s="9">
        <f>(LN(RawData!AF26)-LN(RawData!AF25))*100</f>
        <v>1.2836315304390666</v>
      </c>
      <c r="AG25" s="9">
        <f>(LN(RawData!AG26)-LN(RawData!AG25))*100</f>
        <v>0.95020812734532001</v>
      </c>
      <c r="AH25" s="9">
        <f>(LN(RawData!AH26)-LN(RawData!AH25))*100</f>
        <v>2.8789320599475587</v>
      </c>
      <c r="AI25" s="9">
        <f>(LN(RawData!AI26)-LN(RawData!AI25))*100</f>
        <v>10.116159427035143</v>
      </c>
      <c r="AJ25" s="9">
        <f>(LN(RawData!AJ26)-LN(RawData!AJ25))*100</f>
        <v>3.8730208250786546</v>
      </c>
      <c r="AK25" s="9">
        <f>(LN(RawData!AK26)-LN(RawData!AK25))*100</f>
        <v>5.9514242408539531</v>
      </c>
      <c r="AL25" s="9">
        <f>(LN(RawData!AL26)-LN(RawData!AL25))*100</f>
        <v>13.365292532842687</v>
      </c>
      <c r="AM25" s="9">
        <f>(LN(RawData!AM26)-LN(RawData!AM25))*100</f>
        <v>-2.0914302536020557</v>
      </c>
      <c r="AN25" s="9">
        <f>(LN(RawData!AN26)-LN(RawData!AN25))*100</f>
        <v>10.008556605371766</v>
      </c>
      <c r="AO25" s="9">
        <f>(LN(RawData!AO26)-LN(RawData!AO25))*100</f>
        <v>6.5420780054910921</v>
      </c>
      <c r="AP25" s="9">
        <f>(LN(RawData!AP26)-LN(RawData!AP25))*100</f>
        <v>1.8923870420781697</v>
      </c>
      <c r="AQ25" s="9">
        <f>(LN(RawData!AQ26)-LN(RawData!AQ25))*100</f>
        <v>7.6895758944710124</v>
      </c>
      <c r="AR25" s="9">
        <f>(LN(RawData!AR26)-LN(RawData!AR25))*100</f>
        <v>3.8465812802691346</v>
      </c>
      <c r="AS25" s="9">
        <f>(LN(RawData!AS26)-LN(RawData!AS25))*100</f>
        <v>2.5791249763798874</v>
      </c>
      <c r="AT25" s="9">
        <f>(LN(RawData!AT26)-LN(RawData!AT25))*100</f>
        <v>6.504352034219707</v>
      </c>
      <c r="AU25" s="9">
        <f>(LN(RawData!AU26)-LN(RawData!AU25))*100</f>
        <v>72.698667713286369</v>
      </c>
      <c r="AV25" s="9">
        <f>(LN(RawData!AV26)-LN(RawData!AV25))*100</f>
        <v>5.385796084386385</v>
      </c>
      <c r="AW25" s="9">
        <f>(LN(RawData!AW26)-LN(RawData!AW25))*100</f>
        <v>52.262859872813827</v>
      </c>
      <c r="AX25" s="9">
        <f>(LN(RawData!AX26)-LN(RawData!AX25))*100</f>
        <v>9.2717395004534353</v>
      </c>
      <c r="AY25" s="9">
        <f>(LN(RawData!AY26)-LN(RawData!AY25))*100</f>
        <v>4.2534723771698424</v>
      </c>
      <c r="AZ25" s="9">
        <f>(LN(RawData!AZ26)-LN(RawData!AZ25))*100</f>
        <v>5.7032722724173368</v>
      </c>
      <c r="BA25" s="9">
        <f>(LN(RawData!BA26)-LN(RawData!BA25))*100</f>
        <v>8.7212029081346287</v>
      </c>
      <c r="BB25" s="9">
        <f>(LN(RawData!BB26)-LN(RawData!BB25))*100</f>
        <v>1.9170034063343167</v>
      </c>
      <c r="BC25" s="9">
        <f>(LN(RawData!BC26)-LN(RawData!BC25))*100</f>
        <v>5.0212037862248593</v>
      </c>
    </row>
    <row r="26" spans="1:55" ht="16" x14ac:dyDescent="0.2">
      <c r="A26" s="10">
        <v>2023</v>
      </c>
      <c r="B26" s="9">
        <f>(LN(RawData!B27)-LN(RawData!B26))*100</f>
        <v>83.383989205609765</v>
      </c>
      <c r="C26" s="9">
        <f>(LN(RawData!C27)-LN(RawData!C26))*100</f>
        <v>-1.5626475239983506</v>
      </c>
      <c r="D26" s="9">
        <f>(LN(RawData!D27)-LN(RawData!D26))*100</f>
        <v>73.663162625360812</v>
      </c>
      <c r="E26" s="9">
        <f>(LN(RawData!E27)-LN(RawData!E26))*100</f>
        <v>9.3237114607045868</v>
      </c>
      <c r="F26" s="9">
        <f>(LN(RawData!F27)-LN(RawData!F26))*100</f>
        <v>2.9723721685957827</v>
      </c>
      <c r="G26" s="9">
        <f>(LN(RawData!G27)-LN(RawData!G26))*100</f>
        <v>5.1667294198463054</v>
      </c>
      <c r="H26" s="9">
        <f>(LN(RawData!H27)-LN(RawData!H26))*100</f>
        <v>7.4207078374382007</v>
      </c>
      <c r="I26" s="9">
        <f>(LN(RawData!I27)-LN(RawData!I26))*100</f>
        <v>2.8669868292514167</v>
      </c>
      <c r="J26" s="9">
        <f>(LN(RawData!J27)-LN(RawData!J26))*100</f>
        <v>10.203860217393768</v>
      </c>
      <c r="K26" s="9">
        <f>(LN(RawData!K27)-LN(RawData!K26))*100</f>
        <v>2.6528468336287858</v>
      </c>
      <c r="L26" s="9">
        <f>(LN(RawData!L27)-LN(RawData!L26))*100</f>
        <v>1.0603527894954112</v>
      </c>
      <c r="M26" s="9">
        <f>(LN(RawData!M27)-LN(RawData!M26))*100</f>
        <v>5.7464230387100912</v>
      </c>
      <c r="N26" s="9">
        <f>(LN(RawData!N27)-LN(RawData!N26))*100</f>
        <v>4.5323024015615943</v>
      </c>
      <c r="O26" s="9">
        <f>(LN(RawData!O27)-LN(RawData!O26))*100</f>
        <v>5.0693114314299237</v>
      </c>
      <c r="P26" s="9">
        <f>(LN(RawData!P27)-LN(RawData!P26))*100</f>
        <v>10.633227416483493</v>
      </c>
      <c r="Q26" s="9">
        <f>(LN(RawData!Q27)-LN(RawData!Q26))*100</f>
        <v>6.0291029004069685</v>
      </c>
      <c r="R26" s="9">
        <f>(LN(RawData!R27)-LN(RawData!R26))*100</f>
        <v>0.70125400320009135</v>
      </c>
      <c r="S26" s="9">
        <f>(LN(RawData!S27)-LN(RawData!S26))*100</f>
        <v>0.49472311936646918</v>
      </c>
      <c r="T26" s="9">
        <f>(LN(RawData!T27)-LN(RawData!T26))*100</f>
        <v>6.1122026607009161</v>
      </c>
      <c r="U26" s="9">
        <f>(LN(RawData!U27)-LN(RawData!U26))*100</f>
        <v>-0.30540044853069048</v>
      </c>
      <c r="V26" s="9">
        <f>(LN(RawData!V27)-LN(RawData!V26))*100</f>
        <v>0.49472311936646918</v>
      </c>
      <c r="W26" s="9">
        <f>(LN(RawData!W27)-LN(RawData!W26))*100</f>
        <v>8.6673634951928591</v>
      </c>
      <c r="X26" s="9">
        <f>(LN(RawData!X27)-LN(RawData!X26))*100</f>
        <v>7.3101483396918354</v>
      </c>
      <c r="Y26" s="9">
        <f>(LN(RawData!Y27)-LN(RawData!Y26))*100</f>
        <v>10.031467994888033</v>
      </c>
      <c r="Z26" s="9">
        <f>(LN(RawData!Z27)-LN(RawData!Z26))*100</f>
        <v>6.4462617862538707</v>
      </c>
      <c r="AA26" s="9">
        <f>(LN(RawData!AA27)-LN(RawData!AA26))*100</f>
        <v>4.9248209447561919</v>
      </c>
      <c r="AB26" s="9">
        <f>(LN(RawData!AB27)-LN(RawData!AB26))*100</f>
        <v>5.5289241882022111</v>
      </c>
      <c r="AC26" s="9">
        <f>(LN(RawData!AC27)-LN(RawData!AC26))*100</f>
        <v>6.0553623937682488</v>
      </c>
      <c r="AD26" s="9">
        <f>(LN(RawData!AD27)-LN(RawData!AD26))*100</f>
        <v>0.91647967957264598</v>
      </c>
      <c r="AE26" s="9">
        <f>(LN(RawData!AE27)-LN(RawData!AE26))*100</f>
        <v>0.49472311936646918</v>
      </c>
      <c r="AF26" s="9">
        <f>(LN(RawData!AF27)-LN(RawData!AF26))*100</f>
        <v>5.5887136907131207</v>
      </c>
      <c r="AG26" s="9">
        <f>(LN(RawData!AG27)-LN(RawData!AG26))*100</f>
        <v>1.9047985082686125</v>
      </c>
      <c r="AH26" s="9">
        <f>(LN(RawData!AH27)-LN(RawData!AH26))*100</f>
        <v>1.9484062748681197</v>
      </c>
      <c r="AI26" s="9">
        <f>(LN(RawData!AI27)-LN(RawData!AI26))*100</f>
        <v>7.5679961569843357</v>
      </c>
      <c r="AJ26" s="9">
        <f>(LN(RawData!AJ27)-LN(RawData!AJ26))*100</f>
        <v>3.1777085231460944</v>
      </c>
      <c r="AK26" s="9">
        <f>(LN(RawData!AK27)-LN(RawData!AK26))*100</f>
        <v>8.464484968547481</v>
      </c>
      <c r="AL26" s="9">
        <f>(LN(RawData!AL27)-LN(RawData!AL26))*100</f>
        <v>10.371342094349245</v>
      </c>
      <c r="AM26" s="9">
        <f>(LN(RawData!AM27)-LN(RawData!AM26))*100</f>
        <v>3.5367143837291337</v>
      </c>
      <c r="AN26" s="9">
        <f>(LN(RawData!AN27)-LN(RawData!AN26))*100</f>
        <v>17.363949227978104</v>
      </c>
      <c r="AO26" s="9">
        <f>(LN(RawData!AO27)-LN(RawData!AO26))*100</f>
        <v>5.0252424612065028</v>
      </c>
      <c r="AP26" s="9">
        <f>(LN(RawData!AP27)-LN(RawData!AP26))*100</f>
        <v>0.5998595428735598</v>
      </c>
      <c r="AQ26" s="9">
        <f>(LN(RawData!AQ27)-LN(RawData!AQ26))*100</f>
        <v>8.3998328436642566</v>
      </c>
      <c r="AR26" s="9">
        <f>(LN(RawData!AR27)-LN(RawData!AR26))*100</f>
        <v>3.3906726424859812</v>
      </c>
      <c r="AS26" s="9">
        <f>(LN(RawData!AS27)-LN(RawData!AS26))*100</f>
        <v>1.3476120254338753</v>
      </c>
      <c r="AT26" s="9">
        <f>(LN(RawData!AT27)-LN(RawData!AT26))*100</f>
        <v>2.8386332395829328</v>
      </c>
      <c r="AU26" s="9">
        <f>(LN(RawData!AU27)-LN(RawData!AU26))*100</f>
        <v>55.9832713053936</v>
      </c>
      <c r="AV26" s="9">
        <f>(LN(RawData!AV27)-LN(RawData!AV26))*100</f>
        <v>4.4178274383160243</v>
      </c>
      <c r="AW26" s="9">
        <f>(LN(RawData!AW27)-LN(RawData!AW26))*100</f>
        <v>48.951095406961009</v>
      </c>
      <c r="AX26" s="9">
        <f>(LN(RawData!AX27)-LN(RawData!AX26))*100</f>
        <v>6.9814274777016294</v>
      </c>
      <c r="AY26" s="9">
        <f>(LN(RawData!AY27)-LN(RawData!AY26))*100</f>
        <v>0.10396378808010809</v>
      </c>
      <c r="AZ26" s="9">
        <f>(LN(RawData!AZ27)-LN(RawData!AZ26))*100</f>
        <v>-0.85550054881480264</v>
      </c>
      <c r="BA26" s="9">
        <f>(LN(RawData!BA27)-LN(RawData!BA26))*100</f>
        <v>6.0910480753545215</v>
      </c>
      <c r="BB26" s="9">
        <f>(LN(RawData!BB27)-LN(RawData!BB26))*100</f>
        <v>2.5109114122393805</v>
      </c>
      <c r="BC26" s="9">
        <f>(LN(RawData!BC27)-LN(RawData!BC26))*100</f>
        <v>-3.5163518765124024</v>
      </c>
    </row>
    <row r="27" spans="1:55" ht="16" x14ac:dyDescent="0.2">
      <c r="A27" s="5"/>
    </row>
    <row r="28" spans="1:55" ht="16" x14ac:dyDescent="0.2">
      <c r="A28" s="5"/>
    </row>
    <row r="29" spans="1:55" ht="16" x14ac:dyDescent="0.2">
      <c r="A29" s="5"/>
    </row>
    <row r="30" spans="1:55" ht="16" x14ac:dyDescent="0.2">
      <c r="A30" s="5"/>
    </row>
    <row r="31" spans="1:55" ht="16" x14ac:dyDescent="0.2">
      <c r="A31" s="5"/>
    </row>
    <row r="32" spans="1:55" ht="16" x14ac:dyDescent="0.2">
      <c r="A32" s="5"/>
    </row>
    <row r="33" spans="1:1" ht="16" x14ac:dyDescent="0.2">
      <c r="A33" s="5"/>
    </row>
    <row r="34" spans="1:1" ht="16" x14ac:dyDescent="0.2">
      <c r="A34" s="5"/>
    </row>
    <row r="35" spans="1:1" ht="16" x14ac:dyDescent="0.2">
      <c r="A35" s="5"/>
    </row>
    <row r="36" spans="1:1" ht="16" x14ac:dyDescent="0.2">
      <c r="A36" s="5"/>
    </row>
    <row r="37" spans="1:1" ht="16" x14ac:dyDescent="0.2">
      <c r="A37" s="5"/>
    </row>
    <row r="38" spans="1:1" ht="16" x14ac:dyDescent="0.2">
      <c r="A38" s="5"/>
    </row>
    <row r="39" spans="1:1" ht="16" x14ac:dyDescent="0.2">
      <c r="A39" s="5"/>
    </row>
    <row r="40" spans="1:1" ht="16" x14ac:dyDescent="0.2">
      <c r="A40" s="5"/>
    </row>
    <row r="41" spans="1:1" ht="16" x14ac:dyDescent="0.2">
      <c r="A41" s="5"/>
    </row>
    <row r="42" spans="1:1" ht="16" x14ac:dyDescent="0.2">
      <c r="A42" s="5"/>
    </row>
    <row r="43" spans="1:1" ht="16" x14ac:dyDescent="0.2">
      <c r="A43" s="5"/>
    </row>
    <row r="44" spans="1:1" ht="16" x14ac:dyDescent="0.2">
      <c r="A44" s="5"/>
    </row>
    <row r="45" spans="1:1" ht="16" x14ac:dyDescent="0.2">
      <c r="A45" s="5"/>
    </row>
    <row r="46" spans="1:1" ht="16" x14ac:dyDescent="0.2">
      <c r="A46" s="5"/>
    </row>
    <row r="47" spans="1:1" ht="16" x14ac:dyDescent="0.2">
      <c r="A47" s="5"/>
    </row>
    <row r="48" spans="1:1" ht="16" x14ac:dyDescent="0.2">
      <c r="A48" s="5"/>
    </row>
    <row r="49" spans="1:1" ht="16" x14ac:dyDescent="0.2">
      <c r="A49" s="5"/>
    </row>
    <row r="50" spans="1:1" ht="16" x14ac:dyDescent="0.2">
      <c r="A50" s="5"/>
    </row>
    <row r="51" spans="1:1" ht="16" x14ac:dyDescent="0.2">
      <c r="A51" s="5"/>
    </row>
    <row r="52" spans="1:1" ht="16" x14ac:dyDescent="0.2">
      <c r="A52" s="5"/>
    </row>
    <row r="53" spans="1:1" ht="16" x14ac:dyDescent="0.2">
      <c r="A53" s="5"/>
    </row>
    <row r="54" spans="1:1" ht="16" x14ac:dyDescent="0.2">
      <c r="A54" s="5"/>
    </row>
    <row r="55" spans="1:1" ht="16" x14ac:dyDescent="0.2">
      <c r="A55" s="5"/>
    </row>
    <row r="56" spans="1:1" ht="16" x14ac:dyDescent="0.2">
      <c r="A56" s="5"/>
    </row>
    <row r="57" spans="1:1" ht="16" x14ac:dyDescent="0.2">
      <c r="A57" s="5"/>
    </row>
    <row r="58" spans="1:1" ht="16" x14ac:dyDescent="0.2">
      <c r="A58" s="5"/>
    </row>
    <row r="59" spans="1:1" ht="16" x14ac:dyDescent="0.2">
      <c r="A59" s="5"/>
    </row>
    <row r="60" spans="1:1" ht="16" x14ac:dyDescent="0.2">
      <c r="A60" s="5"/>
    </row>
    <row r="61" spans="1:1" ht="16" x14ac:dyDescent="0.2">
      <c r="A61" s="5"/>
    </row>
    <row r="62" spans="1:1" ht="16" x14ac:dyDescent="0.2">
      <c r="A62" s="5"/>
    </row>
    <row r="63" spans="1:1" ht="16" x14ac:dyDescent="0.2">
      <c r="A63" s="5"/>
    </row>
    <row r="64" spans="1:1" ht="16" x14ac:dyDescent="0.2">
      <c r="A64" s="5"/>
    </row>
    <row r="65" spans="1:1" ht="16" x14ac:dyDescent="0.2">
      <c r="A65" s="5"/>
    </row>
    <row r="66" spans="1:1" ht="16" x14ac:dyDescent="0.2">
      <c r="A66" s="5"/>
    </row>
    <row r="67" spans="1:1" ht="16" x14ac:dyDescent="0.2">
      <c r="A67" s="5"/>
    </row>
    <row r="68" spans="1:1" ht="16" x14ac:dyDescent="0.2">
      <c r="A68" s="5"/>
    </row>
    <row r="69" spans="1:1" ht="16" x14ac:dyDescent="0.2">
      <c r="A69" s="5"/>
    </row>
    <row r="70" spans="1:1" ht="16" x14ac:dyDescent="0.2">
      <c r="A70" s="5"/>
    </row>
    <row r="71" spans="1:1" ht="16" x14ac:dyDescent="0.2">
      <c r="A71" s="5"/>
    </row>
    <row r="72" spans="1:1" ht="16" x14ac:dyDescent="0.2">
      <c r="A72" s="5"/>
    </row>
    <row r="73" spans="1:1" ht="16" x14ac:dyDescent="0.2">
      <c r="A73" s="5"/>
    </row>
    <row r="74" spans="1:1" ht="16" x14ac:dyDescent="0.2">
      <c r="A74" s="5"/>
    </row>
    <row r="75" spans="1:1" ht="16" x14ac:dyDescent="0.2">
      <c r="A75" s="5"/>
    </row>
    <row r="76" spans="1:1" ht="16" x14ac:dyDescent="0.2">
      <c r="A76" s="5"/>
    </row>
    <row r="77" spans="1:1" ht="16" x14ac:dyDescent="0.2">
      <c r="A77" s="5"/>
    </row>
    <row r="78" spans="1:1" ht="16" x14ac:dyDescent="0.2">
      <c r="A78" s="5"/>
    </row>
    <row r="79" spans="1:1" ht="16" x14ac:dyDescent="0.2">
      <c r="A79" s="5"/>
    </row>
    <row r="80" spans="1:1" ht="16" x14ac:dyDescent="0.2">
      <c r="A80" s="5"/>
    </row>
    <row r="81" spans="1:1" ht="16" x14ac:dyDescent="0.2">
      <c r="A81" s="5"/>
    </row>
    <row r="82" spans="1:1" ht="16" x14ac:dyDescent="0.2">
      <c r="A82" s="5"/>
    </row>
    <row r="83" spans="1:1" ht="16" x14ac:dyDescent="0.2">
      <c r="A83" s="5"/>
    </row>
    <row r="84" spans="1:1" ht="16" x14ac:dyDescent="0.2">
      <c r="A84" s="5"/>
    </row>
    <row r="85" spans="1:1" ht="16" x14ac:dyDescent="0.2">
      <c r="A85" s="5"/>
    </row>
    <row r="86" spans="1:1" ht="16" x14ac:dyDescent="0.2">
      <c r="A86" s="5"/>
    </row>
    <row r="87" spans="1:1" ht="16" x14ac:dyDescent="0.2">
      <c r="A87" s="5"/>
    </row>
    <row r="88" spans="1:1" ht="16" x14ac:dyDescent="0.2">
      <c r="A88" s="5"/>
    </row>
    <row r="89" spans="1:1" ht="16" x14ac:dyDescent="0.2">
      <c r="A89" s="5"/>
    </row>
    <row r="90" spans="1:1" ht="16" x14ac:dyDescent="0.2">
      <c r="A90" s="5"/>
    </row>
    <row r="91" spans="1:1" ht="16" x14ac:dyDescent="0.2">
      <c r="A91" s="5"/>
    </row>
    <row r="92" spans="1:1" ht="16" x14ac:dyDescent="0.2">
      <c r="A92" s="5"/>
    </row>
    <row r="93" spans="1:1" ht="16" x14ac:dyDescent="0.2">
      <c r="A93" s="5"/>
    </row>
    <row r="94" spans="1:1" ht="16" x14ac:dyDescent="0.2">
      <c r="A94" s="5"/>
    </row>
    <row r="95" spans="1:1" ht="16" x14ac:dyDescent="0.2">
      <c r="A95" s="5"/>
    </row>
    <row r="96" spans="1:1" ht="16" x14ac:dyDescent="0.2">
      <c r="A96" s="5"/>
    </row>
    <row r="97" spans="1:1" ht="16" x14ac:dyDescent="0.2">
      <c r="A97" s="5"/>
    </row>
    <row r="98" spans="1:1" ht="16" x14ac:dyDescent="0.2">
      <c r="A98" s="5"/>
    </row>
    <row r="99" spans="1:1" ht="16" x14ac:dyDescent="0.2">
      <c r="A99" s="5"/>
    </row>
    <row r="100" spans="1:1" ht="16" x14ac:dyDescent="0.2">
      <c r="A100" s="5"/>
    </row>
    <row r="101" spans="1:1" ht="16" x14ac:dyDescent="0.2">
      <c r="A101" s="5"/>
    </row>
    <row r="102" spans="1:1" ht="16" x14ac:dyDescent="0.2">
      <c r="A102" s="5"/>
    </row>
    <row r="103" spans="1:1" ht="16" x14ac:dyDescent="0.2">
      <c r="A103" s="5"/>
    </row>
    <row r="104" spans="1:1" ht="16" x14ac:dyDescent="0.2">
      <c r="A104" s="5"/>
    </row>
    <row r="105" spans="1:1" ht="16" x14ac:dyDescent="0.2">
      <c r="A105" s="5"/>
    </row>
    <row r="106" spans="1:1" ht="16" x14ac:dyDescent="0.2">
      <c r="A106" s="5"/>
    </row>
    <row r="107" spans="1:1" ht="16" x14ac:dyDescent="0.2">
      <c r="A107" s="5"/>
    </row>
    <row r="108" spans="1:1" ht="16" x14ac:dyDescent="0.2">
      <c r="A108" s="5"/>
    </row>
    <row r="109" spans="1:1" ht="16" x14ac:dyDescent="0.2">
      <c r="A109" s="5"/>
    </row>
    <row r="110" spans="1:1" ht="16" x14ac:dyDescent="0.2">
      <c r="A110" s="5"/>
    </row>
    <row r="111" spans="1:1" ht="16" x14ac:dyDescent="0.2">
      <c r="A111" s="5"/>
    </row>
    <row r="112" spans="1:1" ht="16" x14ac:dyDescent="0.2">
      <c r="A112" s="5"/>
    </row>
    <row r="113" spans="1:1" ht="16" x14ac:dyDescent="0.2">
      <c r="A113" s="5"/>
    </row>
    <row r="114" spans="1:1" ht="16" x14ac:dyDescent="0.2">
      <c r="A114" s="5"/>
    </row>
    <row r="115" spans="1:1" ht="16" x14ac:dyDescent="0.2">
      <c r="A115" s="5"/>
    </row>
    <row r="116" spans="1:1" ht="16" x14ac:dyDescent="0.2">
      <c r="A116" s="5"/>
    </row>
    <row r="117" spans="1:1" ht="16" x14ac:dyDescent="0.2">
      <c r="A117" s="5"/>
    </row>
    <row r="118" spans="1:1" ht="16" x14ac:dyDescent="0.2">
      <c r="A118" s="5"/>
    </row>
    <row r="119" spans="1:1" ht="16" x14ac:dyDescent="0.2">
      <c r="A119" s="5"/>
    </row>
    <row r="120" spans="1:1" ht="16" x14ac:dyDescent="0.2">
      <c r="A120" s="5"/>
    </row>
    <row r="121" spans="1:1" ht="16" x14ac:dyDescent="0.2">
      <c r="A121" s="5"/>
    </row>
    <row r="122" spans="1:1" ht="16" x14ac:dyDescent="0.2">
      <c r="A122" s="5"/>
    </row>
    <row r="123" spans="1:1" ht="16" x14ac:dyDescent="0.2">
      <c r="A123" s="5"/>
    </row>
    <row r="124" spans="1:1" ht="16" x14ac:dyDescent="0.2">
      <c r="A124" s="5"/>
    </row>
    <row r="125" spans="1:1" ht="16" x14ac:dyDescent="0.2">
      <c r="A125" s="5"/>
    </row>
    <row r="126" spans="1:1" ht="16" x14ac:dyDescent="0.2">
      <c r="A126" s="5"/>
    </row>
    <row r="127" spans="1:1" ht="16" x14ac:dyDescent="0.2">
      <c r="A127" s="5"/>
    </row>
    <row r="128" spans="1:1" ht="16" x14ac:dyDescent="0.2">
      <c r="A128" s="5"/>
    </row>
    <row r="129" spans="1:1" ht="16" x14ac:dyDescent="0.2">
      <c r="A129" s="5"/>
    </row>
    <row r="130" spans="1:1" ht="16" x14ac:dyDescent="0.2">
      <c r="A130" s="5"/>
    </row>
    <row r="131" spans="1:1" ht="16" x14ac:dyDescent="0.2">
      <c r="A131" s="5"/>
    </row>
    <row r="132" spans="1:1" ht="16" x14ac:dyDescent="0.2">
      <c r="A132" s="5"/>
    </row>
    <row r="133" spans="1:1" ht="16" x14ac:dyDescent="0.2">
      <c r="A133" s="5"/>
    </row>
    <row r="134" spans="1:1" ht="16" x14ac:dyDescent="0.2">
      <c r="A134" s="5"/>
    </row>
    <row r="135" spans="1:1" ht="16" x14ac:dyDescent="0.2">
      <c r="A135" s="5"/>
    </row>
    <row r="136" spans="1:1" ht="16" x14ac:dyDescent="0.2">
      <c r="A136" s="5"/>
    </row>
    <row r="137" spans="1:1" ht="16" x14ac:dyDescent="0.2">
      <c r="A137" s="5"/>
    </row>
    <row r="138" spans="1:1" ht="16" x14ac:dyDescent="0.2">
      <c r="A138" s="5"/>
    </row>
    <row r="139" spans="1:1" ht="16" x14ac:dyDescent="0.2">
      <c r="A139" s="5"/>
    </row>
    <row r="140" spans="1:1" ht="16" x14ac:dyDescent="0.2">
      <c r="A140" s="5"/>
    </row>
    <row r="141" spans="1:1" ht="16" x14ac:dyDescent="0.2">
      <c r="A141" s="5"/>
    </row>
    <row r="142" spans="1:1" ht="16" x14ac:dyDescent="0.2">
      <c r="A142" s="5"/>
    </row>
    <row r="143" spans="1:1" ht="16" x14ac:dyDescent="0.2">
      <c r="A143" s="5"/>
    </row>
    <row r="144" spans="1:1" ht="16" x14ac:dyDescent="0.2">
      <c r="A144" s="5"/>
    </row>
    <row r="145" spans="1:1" ht="16" x14ac:dyDescent="0.2">
      <c r="A145" s="5"/>
    </row>
    <row r="146" spans="1:1" ht="16" x14ac:dyDescent="0.2">
      <c r="A146" s="5"/>
    </row>
    <row r="147" spans="1:1" ht="16" x14ac:dyDescent="0.2">
      <c r="A147" s="5"/>
    </row>
    <row r="148" spans="1:1" ht="16" x14ac:dyDescent="0.2">
      <c r="A148" s="5"/>
    </row>
    <row r="149" spans="1:1" ht="16" x14ac:dyDescent="0.2">
      <c r="A149" s="5"/>
    </row>
    <row r="150" spans="1:1" ht="16" x14ac:dyDescent="0.2">
      <c r="A150" s="5"/>
    </row>
    <row r="151" spans="1:1" ht="16" x14ac:dyDescent="0.2">
      <c r="A151" s="5"/>
    </row>
    <row r="152" spans="1:1" ht="16" x14ac:dyDescent="0.2">
      <c r="A152" s="5"/>
    </row>
    <row r="153" spans="1:1" ht="16" x14ac:dyDescent="0.2">
      <c r="A153" s="5"/>
    </row>
    <row r="154" spans="1:1" ht="16" x14ac:dyDescent="0.2">
      <c r="A154" s="5"/>
    </row>
    <row r="155" spans="1:1" ht="16" x14ac:dyDescent="0.2">
      <c r="A155" s="5"/>
    </row>
    <row r="156" spans="1:1" ht="16" x14ac:dyDescent="0.2">
      <c r="A156" s="5"/>
    </row>
    <row r="157" spans="1:1" ht="16" x14ac:dyDescent="0.2">
      <c r="A157" s="5"/>
    </row>
    <row r="158" spans="1:1" ht="16" x14ac:dyDescent="0.2">
      <c r="A158" s="5"/>
    </row>
    <row r="159" spans="1:1" ht="16" x14ac:dyDescent="0.2">
      <c r="A159" s="5"/>
    </row>
    <row r="160" spans="1:1" ht="16" x14ac:dyDescent="0.2">
      <c r="A160" s="5"/>
    </row>
    <row r="161" spans="1:1" ht="16" x14ac:dyDescent="0.2">
      <c r="A161" s="5"/>
    </row>
    <row r="162" spans="1:1" ht="16" x14ac:dyDescent="0.2">
      <c r="A162" s="5"/>
    </row>
    <row r="163" spans="1:1" ht="16" x14ac:dyDescent="0.2">
      <c r="A163" s="5"/>
    </row>
    <row r="164" spans="1:1" ht="16" x14ac:dyDescent="0.2">
      <c r="A164" s="5"/>
    </row>
    <row r="165" spans="1:1" ht="16" x14ac:dyDescent="0.2">
      <c r="A165" s="5"/>
    </row>
    <row r="166" spans="1:1" ht="16" x14ac:dyDescent="0.2">
      <c r="A166" s="5"/>
    </row>
    <row r="167" spans="1:1" ht="16" x14ac:dyDescent="0.2">
      <c r="A167" s="5"/>
    </row>
    <row r="168" spans="1:1" ht="16" x14ac:dyDescent="0.2">
      <c r="A168" s="5"/>
    </row>
    <row r="169" spans="1:1" ht="16" x14ac:dyDescent="0.2">
      <c r="A169" s="5"/>
    </row>
    <row r="170" spans="1:1" ht="16" x14ac:dyDescent="0.2">
      <c r="A170" s="5"/>
    </row>
    <row r="171" spans="1:1" ht="16" x14ac:dyDescent="0.2">
      <c r="A171" s="5"/>
    </row>
    <row r="172" spans="1:1" ht="16" x14ac:dyDescent="0.2">
      <c r="A172" s="5"/>
    </row>
    <row r="173" spans="1:1" ht="16" x14ac:dyDescent="0.2">
      <c r="A173" s="5"/>
    </row>
    <row r="174" spans="1:1" ht="16" x14ac:dyDescent="0.2">
      <c r="A174" s="5"/>
    </row>
    <row r="175" spans="1:1" ht="16" x14ac:dyDescent="0.2">
      <c r="A175" s="5"/>
    </row>
    <row r="176" spans="1:1" ht="16" x14ac:dyDescent="0.2">
      <c r="A176" s="5"/>
    </row>
    <row r="177" spans="1:1" ht="16" x14ac:dyDescent="0.2">
      <c r="A177" s="5"/>
    </row>
    <row r="178" spans="1:1" ht="16" x14ac:dyDescent="0.2">
      <c r="A178" s="5"/>
    </row>
    <row r="179" spans="1:1" ht="16" x14ac:dyDescent="0.2">
      <c r="A179" s="5"/>
    </row>
    <row r="180" spans="1:1" ht="16" x14ac:dyDescent="0.2">
      <c r="A180" s="5"/>
    </row>
    <row r="181" spans="1:1" ht="16" x14ac:dyDescent="0.2">
      <c r="A181" s="5"/>
    </row>
    <row r="182" spans="1:1" ht="16" x14ac:dyDescent="0.2">
      <c r="A182" s="5"/>
    </row>
    <row r="183" spans="1:1" ht="16" x14ac:dyDescent="0.2">
      <c r="A183" s="5"/>
    </row>
    <row r="184" spans="1:1" ht="16" x14ac:dyDescent="0.2">
      <c r="A184" s="5"/>
    </row>
    <row r="185" spans="1:1" ht="16" x14ac:dyDescent="0.2">
      <c r="A185" s="5"/>
    </row>
    <row r="186" spans="1:1" ht="16" x14ac:dyDescent="0.2">
      <c r="A186" s="5"/>
    </row>
    <row r="187" spans="1:1" ht="16" x14ac:dyDescent="0.2">
      <c r="A187" s="5"/>
    </row>
    <row r="188" spans="1:1" ht="16" x14ac:dyDescent="0.2">
      <c r="A188" s="5"/>
    </row>
    <row r="189" spans="1:1" ht="16" x14ac:dyDescent="0.2">
      <c r="A189" s="5"/>
    </row>
    <row r="190" spans="1:1" ht="16" x14ac:dyDescent="0.2">
      <c r="A190" s="5"/>
    </row>
    <row r="191" spans="1:1" ht="16" x14ac:dyDescent="0.2">
      <c r="A191" s="5"/>
    </row>
    <row r="192" spans="1:1" ht="16" x14ac:dyDescent="0.2">
      <c r="A192" s="5"/>
    </row>
    <row r="193" spans="1:1" ht="16" x14ac:dyDescent="0.2">
      <c r="A193" s="5"/>
    </row>
    <row r="194" spans="1:1" ht="16" x14ac:dyDescent="0.2">
      <c r="A194" s="5"/>
    </row>
    <row r="195" spans="1:1" ht="16" x14ac:dyDescent="0.2">
      <c r="A195" s="5"/>
    </row>
    <row r="196" spans="1:1" ht="16" x14ac:dyDescent="0.2">
      <c r="A196" s="5"/>
    </row>
    <row r="197" spans="1:1" ht="16" x14ac:dyDescent="0.2">
      <c r="A197" s="5"/>
    </row>
    <row r="198" spans="1:1" ht="16" x14ac:dyDescent="0.2">
      <c r="A198" s="5"/>
    </row>
    <row r="199" spans="1:1" ht="16" x14ac:dyDescent="0.2">
      <c r="A199" s="5"/>
    </row>
    <row r="200" spans="1:1" ht="16" x14ac:dyDescent="0.2">
      <c r="A200" s="5"/>
    </row>
    <row r="201" spans="1:1" ht="16" x14ac:dyDescent="0.2">
      <c r="A201" s="5"/>
    </row>
    <row r="202" spans="1:1" ht="16" x14ac:dyDescent="0.2">
      <c r="A202" s="5"/>
    </row>
    <row r="203" spans="1:1" ht="16" x14ac:dyDescent="0.2">
      <c r="A203" s="5"/>
    </row>
    <row r="204" spans="1:1" ht="16" x14ac:dyDescent="0.2">
      <c r="A204" s="5"/>
    </row>
    <row r="205" spans="1:1" ht="16" x14ac:dyDescent="0.2">
      <c r="A205" s="5"/>
    </row>
    <row r="206" spans="1:1" ht="16" x14ac:dyDescent="0.2">
      <c r="A206" s="5"/>
    </row>
    <row r="207" spans="1:1" ht="16" x14ac:dyDescent="0.2">
      <c r="A207" s="5"/>
    </row>
    <row r="208" spans="1:1" ht="16" x14ac:dyDescent="0.2">
      <c r="A208" s="5"/>
    </row>
    <row r="209" spans="1:1" ht="16" x14ac:dyDescent="0.2">
      <c r="A209" s="5"/>
    </row>
    <row r="210" spans="1:1" ht="16" x14ac:dyDescent="0.2">
      <c r="A210" s="5"/>
    </row>
    <row r="211" spans="1:1" ht="16" x14ac:dyDescent="0.2">
      <c r="A211" s="5"/>
    </row>
    <row r="212" spans="1:1" ht="16" x14ac:dyDescent="0.2">
      <c r="A212" s="5"/>
    </row>
    <row r="213" spans="1:1" ht="16" x14ac:dyDescent="0.2">
      <c r="A213" s="5"/>
    </row>
    <row r="214" spans="1:1" ht="16" x14ac:dyDescent="0.2">
      <c r="A214" s="5"/>
    </row>
    <row r="215" spans="1:1" ht="16" x14ac:dyDescent="0.2">
      <c r="A215" s="5"/>
    </row>
    <row r="216" spans="1:1" ht="16" x14ac:dyDescent="0.2">
      <c r="A216" s="5"/>
    </row>
    <row r="217" spans="1:1" ht="16" x14ac:dyDescent="0.2">
      <c r="A217" s="5"/>
    </row>
    <row r="218" spans="1:1" ht="16" x14ac:dyDescent="0.2">
      <c r="A218" s="5"/>
    </row>
    <row r="219" spans="1:1" ht="16" x14ac:dyDescent="0.2">
      <c r="A219" s="5"/>
    </row>
    <row r="220" spans="1:1" ht="16" x14ac:dyDescent="0.2">
      <c r="A220" s="5"/>
    </row>
    <row r="221" spans="1:1" ht="16" x14ac:dyDescent="0.2">
      <c r="A221" s="5"/>
    </row>
    <row r="222" spans="1:1" ht="16" x14ac:dyDescent="0.2">
      <c r="A222" s="5"/>
    </row>
    <row r="223" spans="1:1" ht="16" x14ac:dyDescent="0.2">
      <c r="A223" s="5"/>
    </row>
    <row r="224" spans="1:1" ht="16" x14ac:dyDescent="0.2">
      <c r="A224" s="5"/>
    </row>
    <row r="225" spans="1:1" ht="16" x14ac:dyDescent="0.2">
      <c r="A225" s="5"/>
    </row>
    <row r="226" spans="1:1" ht="16" x14ac:dyDescent="0.2">
      <c r="A226" s="5"/>
    </row>
    <row r="227" spans="1:1" ht="16" x14ac:dyDescent="0.2">
      <c r="A227" s="5"/>
    </row>
    <row r="228" spans="1:1" ht="16" x14ac:dyDescent="0.2">
      <c r="A228" s="5"/>
    </row>
    <row r="229" spans="1:1" ht="16" x14ac:dyDescent="0.2">
      <c r="A229" s="5"/>
    </row>
    <row r="230" spans="1:1" ht="16" x14ac:dyDescent="0.2">
      <c r="A230" s="5"/>
    </row>
    <row r="231" spans="1:1" ht="16" x14ac:dyDescent="0.2">
      <c r="A231" s="5"/>
    </row>
    <row r="232" spans="1:1" ht="16" x14ac:dyDescent="0.2">
      <c r="A232" s="5"/>
    </row>
    <row r="233" spans="1:1" ht="16" x14ac:dyDescent="0.2">
      <c r="A233" s="5"/>
    </row>
    <row r="234" spans="1:1" ht="16" x14ac:dyDescent="0.2">
      <c r="A234" s="5"/>
    </row>
    <row r="235" spans="1:1" ht="16" x14ac:dyDescent="0.2">
      <c r="A235" s="5"/>
    </row>
    <row r="236" spans="1:1" ht="16" x14ac:dyDescent="0.2">
      <c r="A236" s="5"/>
    </row>
    <row r="237" spans="1:1" ht="16" x14ac:dyDescent="0.2">
      <c r="A237" s="5"/>
    </row>
    <row r="238" spans="1:1" ht="16" x14ac:dyDescent="0.2">
      <c r="A238" s="5"/>
    </row>
    <row r="239" spans="1:1" ht="16" x14ac:dyDescent="0.2">
      <c r="A239" s="5"/>
    </row>
    <row r="240" spans="1:1" ht="16" x14ac:dyDescent="0.2">
      <c r="A240" s="5"/>
    </row>
    <row r="241" spans="1:1" ht="16" x14ac:dyDescent="0.2">
      <c r="A241" s="5"/>
    </row>
    <row r="242" spans="1:1" ht="16" x14ac:dyDescent="0.2">
      <c r="A242" s="5"/>
    </row>
    <row r="243" spans="1:1" ht="16" x14ac:dyDescent="0.2">
      <c r="A243" s="5"/>
    </row>
    <row r="244" spans="1:1" ht="16" x14ac:dyDescent="0.2">
      <c r="A244" s="5"/>
    </row>
    <row r="245" spans="1:1" ht="16" x14ac:dyDescent="0.2">
      <c r="A245" s="5"/>
    </row>
    <row r="246" spans="1:1" ht="16" x14ac:dyDescent="0.2">
      <c r="A246" s="5"/>
    </row>
    <row r="247" spans="1:1" ht="16" x14ac:dyDescent="0.2">
      <c r="A247" s="5"/>
    </row>
    <row r="248" spans="1:1" ht="16" x14ac:dyDescent="0.2">
      <c r="A248" s="5"/>
    </row>
    <row r="249" spans="1:1" ht="16" x14ac:dyDescent="0.2">
      <c r="A249" s="5"/>
    </row>
    <row r="250" spans="1:1" ht="16" x14ac:dyDescent="0.2">
      <c r="A250" s="5"/>
    </row>
    <row r="251" spans="1:1" ht="16" x14ac:dyDescent="0.2">
      <c r="A251" s="5"/>
    </row>
    <row r="252" spans="1:1" ht="16" x14ac:dyDescent="0.2">
      <c r="A252" s="5"/>
    </row>
    <row r="253" spans="1:1" ht="16" x14ac:dyDescent="0.2">
      <c r="A253" s="5"/>
    </row>
    <row r="254" spans="1:1" ht="16" x14ac:dyDescent="0.2">
      <c r="A254" s="5"/>
    </row>
    <row r="255" spans="1:1" ht="16" x14ac:dyDescent="0.2">
      <c r="A255" s="5"/>
    </row>
    <row r="256" spans="1:1" ht="16" x14ac:dyDescent="0.2">
      <c r="A256" s="5"/>
    </row>
    <row r="257" spans="1:1" ht="16" x14ac:dyDescent="0.2">
      <c r="A257" s="5"/>
    </row>
    <row r="258" spans="1:1" ht="16" x14ac:dyDescent="0.2">
      <c r="A258" s="5"/>
    </row>
    <row r="259" spans="1:1" ht="16" x14ac:dyDescent="0.2">
      <c r="A259" s="5"/>
    </row>
    <row r="260" spans="1:1" ht="16" x14ac:dyDescent="0.2">
      <c r="A260" s="5"/>
    </row>
    <row r="261" spans="1:1" ht="16" x14ac:dyDescent="0.2">
      <c r="A261" s="5"/>
    </row>
    <row r="262" spans="1:1" ht="16" x14ac:dyDescent="0.2">
      <c r="A262" s="5"/>
    </row>
    <row r="263" spans="1:1" ht="16" x14ac:dyDescent="0.2">
      <c r="A263" s="5"/>
    </row>
    <row r="264" spans="1:1" ht="16" x14ac:dyDescent="0.2">
      <c r="A264" s="5"/>
    </row>
    <row r="265" spans="1:1" ht="16" x14ac:dyDescent="0.2">
      <c r="A265" s="5"/>
    </row>
    <row r="266" spans="1:1" ht="16" x14ac:dyDescent="0.2">
      <c r="A266" s="5"/>
    </row>
    <row r="267" spans="1:1" ht="16" x14ac:dyDescent="0.2">
      <c r="A267" s="5"/>
    </row>
    <row r="268" spans="1:1" ht="16" x14ac:dyDescent="0.2">
      <c r="A268" s="5"/>
    </row>
    <row r="269" spans="1:1" ht="16" x14ac:dyDescent="0.2">
      <c r="A269" s="5"/>
    </row>
    <row r="270" spans="1:1" ht="16" x14ac:dyDescent="0.2">
      <c r="A270" s="5"/>
    </row>
    <row r="271" spans="1:1" ht="16" x14ac:dyDescent="0.2">
      <c r="A271" s="5"/>
    </row>
    <row r="272" spans="1:1" ht="16" x14ac:dyDescent="0.2">
      <c r="A272" s="5"/>
    </row>
    <row r="273" spans="1:1" ht="16" x14ac:dyDescent="0.2">
      <c r="A273" s="5"/>
    </row>
    <row r="274" spans="1:1" ht="16" x14ac:dyDescent="0.2">
      <c r="A274" s="5"/>
    </row>
    <row r="275" spans="1:1" ht="16" x14ac:dyDescent="0.2">
      <c r="A275" s="5"/>
    </row>
    <row r="276" spans="1:1" ht="16" x14ac:dyDescent="0.2">
      <c r="A276" s="5"/>
    </row>
    <row r="277" spans="1:1" ht="16" x14ac:dyDescent="0.2">
      <c r="A277" s="5"/>
    </row>
    <row r="278" spans="1:1" ht="16" x14ac:dyDescent="0.2">
      <c r="A278" s="5"/>
    </row>
    <row r="279" spans="1:1" ht="16" x14ac:dyDescent="0.2">
      <c r="A279" s="5"/>
    </row>
    <row r="280" spans="1:1" ht="16" x14ac:dyDescent="0.2">
      <c r="A280" s="5"/>
    </row>
    <row r="281" spans="1:1" ht="16" x14ac:dyDescent="0.2">
      <c r="A281" s="5"/>
    </row>
    <row r="282" spans="1:1" ht="16" x14ac:dyDescent="0.2">
      <c r="A282" s="5"/>
    </row>
    <row r="283" spans="1:1" ht="16" x14ac:dyDescent="0.2">
      <c r="A283" s="5"/>
    </row>
    <row r="284" spans="1:1" ht="16" x14ac:dyDescent="0.2">
      <c r="A284" s="5"/>
    </row>
    <row r="285" spans="1:1" ht="16" x14ac:dyDescent="0.2">
      <c r="A285" s="5"/>
    </row>
    <row r="286" spans="1:1" ht="16" x14ac:dyDescent="0.2">
      <c r="A286" s="5"/>
    </row>
    <row r="287" spans="1:1" ht="16" x14ac:dyDescent="0.2">
      <c r="A287" s="5"/>
    </row>
    <row r="288" spans="1:1" ht="16" x14ac:dyDescent="0.2">
      <c r="A288" s="5"/>
    </row>
    <row r="289" spans="1:1" ht="16" x14ac:dyDescent="0.2">
      <c r="A289" s="5"/>
    </row>
    <row r="290" spans="1:1" ht="16" x14ac:dyDescent="0.2">
      <c r="A290" s="5"/>
    </row>
    <row r="291" spans="1:1" ht="16" x14ac:dyDescent="0.2">
      <c r="A291" s="5"/>
    </row>
    <row r="292" spans="1:1" ht="16" x14ac:dyDescent="0.2">
      <c r="A292" s="5"/>
    </row>
    <row r="293" spans="1:1" ht="16" x14ac:dyDescent="0.2">
      <c r="A293" s="5"/>
    </row>
    <row r="294" spans="1:1" ht="16" x14ac:dyDescent="0.2">
      <c r="A294" s="5"/>
    </row>
    <row r="295" spans="1:1" ht="16" x14ac:dyDescent="0.2">
      <c r="A295" s="5"/>
    </row>
    <row r="296" spans="1:1" ht="16" x14ac:dyDescent="0.2">
      <c r="A296" s="5"/>
    </row>
    <row r="297" spans="1:1" ht="16" x14ac:dyDescent="0.2">
      <c r="A297" s="5"/>
    </row>
    <row r="298" spans="1:1" ht="16" x14ac:dyDescent="0.2">
      <c r="A298" s="5"/>
    </row>
    <row r="299" spans="1:1" ht="16" x14ac:dyDescent="0.2">
      <c r="A299" s="5"/>
    </row>
    <row r="300" spans="1:1" ht="16" x14ac:dyDescent="0.2">
      <c r="A300" s="5"/>
    </row>
    <row r="301" spans="1:1" ht="16" x14ac:dyDescent="0.2">
      <c r="A301" s="5"/>
    </row>
    <row r="302" spans="1:1" ht="16" x14ac:dyDescent="0.2">
      <c r="A302" s="5"/>
    </row>
    <row r="303" spans="1:1" ht="16" x14ac:dyDescent="0.2">
      <c r="A303" s="5"/>
    </row>
    <row r="304" spans="1:1" ht="16" x14ac:dyDescent="0.2">
      <c r="A304" s="5"/>
    </row>
    <row r="305" spans="1:1" ht="16" x14ac:dyDescent="0.2">
      <c r="A305" s="5"/>
    </row>
    <row r="306" spans="1:1" ht="16" x14ac:dyDescent="0.2">
      <c r="A306" s="5"/>
    </row>
    <row r="307" spans="1:1" ht="16" x14ac:dyDescent="0.2">
      <c r="A307" s="5"/>
    </row>
    <row r="308" spans="1:1" ht="16" x14ac:dyDescent="0.2">
      <c r="A308" s="5"/>
    </row>
    <row r="309" spans="1:1" ht="16" x14ac:dyDescent="0.2">
      <c r="A309" s="5"/>
    </row>
    <row r="310" spans="1:1" ht="16" x14ac:dyDescent="0.2">
      <c r="A310" s="5"/>
    </row>
    <row r="311" spans="1:1" ht="16" x14ac:dyDescent="0.2">
      <c r="A311" s="5"/>
    </row>
    <row r="312" spans="1:1" ht="16" x14ac:dyDescent="0.2">
      <c r="A312" s="5"/>
    </row>
    <row r="313" spans="1:1" ht="16" x14ac:dyDescent="0.2">
      <c r="A313" s="5"/>
    </row>
    <row r="314" spans="1:1" ht="16" x14ac:dyDescent="0.2">
      <c r="A314" s="5"/>
    </row>
    <row r="315" spans="1:1" ht="16" x14ac:dyDescent="0.2">
      <c r="A315" s="5"/>
    </row>
    <row r="316" spans="1:1" ht="16" x14ac:dyDescent="0.2">
      <c r="A316" s="5"/>
    </row>
    <row r="317" spans="1:1" ht="16" x14ac:dyDescent="0.2">
      <c r="A317" s="5"/>
    </row>
    <row r="318" spans="1:1" ht="16" x14ac:dyDescent="0.2">
      <c r="A318" s="5"/>
    </row>
    <row r="319" spans="1:1" ht="16" x14ac:dyDescent="0.2">
      <c r="A319" s="5"/>
    </row>
    <row r="320" spans="1:1" ht="16" x14ac:dyDescent="0.2">
      <c r="A320" s="5"/>
    </row>
    <row r="321" spans="1:1" ht="16" x14ac:dyDescent="0.2">
      <c r="A321" s="5"/>
    </row>
    <row r="322" spans="1:1" ht="16" x14ac:dyDescent="0.2">
      <c r="A322" s="5"/>
    </row>
    <row r="323" spans="1:1" ht="16" x14ac:dyDescent="0.2">
      <c r="A323" s="5"/>
    </row>
    <row r="324" spans="1:1" ht="16" x14ac:dyDescent="0.2">
      <c r="A324" s="5"/>
    </row>
    <row r="325" spans="1:1" ht="16" x14ac:dyDescent="0.2">
      <c r="A325" s="5"/>
    </row>
    <row r="326" spans="1:1" ht="16" x14ac:dyDescent="0.2">
      <c r="A326" s="5"/>
    </row>
    <row r="327" spans="1:1" ht="16" x14ac:dyDescent="0.2">
      <c r="A327" s="5"/>
    </row>
    <row r="328" spans="1:1" ht="16" x14ac:dyDescent="0.2">
      <c r="A328" s="5"/>
    </row>
    <row r="329" spans="1:1" ht="16" x14ac:dyDescent="0.2">
      <c r="A329" s="5"/>
    </row>
    <row r="330" spans="1:1" ht="16" x14ac:dyDescent="0.2">
      <c r="A330" s="5"/>
    </row>
    <row r="331" spans="1:1" ht="16" x14ac:dyDescent="0.2">
      <c r="A331" s="5"/>
    </row>
    <row r="332" spans="1:1" ht="16" x14ac:dyDescent="0.2">
      <c r="A332" s="5"/>
    </row>
    <row r="333" spans="1:1" ht="16" x14ac:dyDescent="0.2">
      <c r="A333" s="5"/>
    </row>
    <row r="334" spans="1:1" ht="16" x14ac:dyDescent="0.2">
      <c r="A334" s="5"/>
    </row>
    <row r="335" spans="1:1" ht="16" x14ac:dyDescent="0.2">
      <c r="A335" s="5"/>
    </row>
    <row r="336" spans="1:1" ht="16" x14ac:dyDescent="0.2">
      <c r="A336" s="5"/>
    </row>
    <row r="337" spans="1:1" ht="16" x14ac:dyDescent="0.2">
      <c r="A337" s="5"/>
    </row>
    <row r="338" spans="1:1" ht="16" x14ac:dyDescent="0.2">
      <c r="A338" s="5"/>
    </row>
    <row r="339" spans="1:1" ht="16" x14ac:dyDescent="0.2">
      <c r="A339" s="5"/>
    </row>
    <row r="340" spans="1:1" ht="16" x14ac:dyDescent="0.2">
      <c r="A340" s="5"/>
    </row>
    <row r="341" spans="1:1" ht="16" x14ac:dyDescent="0.2">
      <c r="A341" s="5"/>
    </row>
    <row r="342" spans="1:1" ht="16" x14ac:dyDescent="0.2">
      <c r="A342" s="5"/>
    </row>
    <row r="343" spans="1:1" ht="16" x14ac:dyDescent="0.2">
      <c r="A343" s="5"/>
    </row>
    <row r="344" spans="1:1" ht="16" x14ac:dyDescent="0.2">
      <c r="A344" s="5"/>
    </row>
    <row r="345" spans="1:1" ht="16" x14ac:dyDescent="0.2">
      <c r="A345" s="5"/>
    </row>
    <row r="346" spans="1:1" ht="16" x14ac:dyDescent="0.2">
      <c r="A346" s="5"/>
    </row>
    <row r="347" spans="1:1" ht="16" x14ac:dyDescent="0.2">
      <c r="A347" s="5"/>
    </row>
    <row r="348" spans="1:1" ht="16" x14ac:dyDescent="0.2">
      <c r="A348" s="5"/>
    </row>
    <row r="349" spans="1:1" ht="16" x14ac:dyDescent="0.2">
      <c r="A349" s="5"/>
    </row>
    <row r="350" spans="1:1" ht="16" x14ac:dyDescent="0.2">
      <c r="A350" s="5"/>
    </row>
    <row r="351" spans="1:1" ht="16" x14ac:dyDescent="0.2">
      <c r="A351" s="5"/>
    </row>
    <row r="352" spans="1:1" ht="16" x14ac:dyDescent="0.2">
      <c r="A352" s="5"/>
    </row>
    <row r="353" spans="1:1" ht="16" x14ac:dyDescent="0.2">
      <c r="A353" s="5"/>
    </row>
    <row r="354" spans="1:1" ht="16" x14ac:dyDescent="0.2">
      <c r="A354" s="5"/>
    </row>
    <row r="355" spans="1:1" ht="16" x14ac:dyDescent="0.2">
      <c r="A355" s="5"/>
    </row>
    <row r="356" spans="1:1" ht="16" x14ac:dyDescent="0.2">
      <c r="A356" s="5"/>
    </row>
    <row r="357" spans="1:1" ht="16" x14ac:dyDescent="0.2">
      <c r="A357" s="5"/>
    </row>
    <row r="358" spans="1:1" ht="16" x14ac:dyDescent="0.2">
      <c r="A358" s="5"/>
    </row>
    <row r="359" spans="1:1" ht="16" x14ac:dyDescent="0.2">
      <c r="A359" s="5"/>
    </row>
    <row r="360" spans="1:1" ht="16" x14ac:dyDescent="0.2">
      <c r="A360" s="5"/>
    </row>
    <row r="361" spans="1:1" ht="16" x14ac:dyDescent="0.2">
      <c r="A361" s="5"/>
    </row>
    <row r="362" spans="1:1" ht="16" x14ac:dyDescent="0.2">
      <c r="A362" s="5"/>
    </row>
    <row r="363" spans="1:1" ht="16" x14ac:dyDescent="0.2">
      <c r="A363" s="5"/>
    </row>
    <row r="364" spans="1:1" ht="16" x14ac:dyDescent="0.2">
      <c r="A364" s="5"/>
    </row>
    <row r="365" spans="1:1" ht="16" x14ac:dyDescent="0.2">
      <c r="A365" s="5"/>
    </row>
    <row r="366" spans="1:1" ht="16" x14ac:dyDescent="0.2">
      <c r="A366" s="5"/>
    </row>
    <row r="367" spans="1:1" ht="16" x14ac:dyDescent="0.2">
      <c r="A367" s="5"/>
    </row>
    <row r="368" spans="1:1" ht="16" x14ac:dyDescent="0.2">
      <c r="A368" s="5"/>
    </row>
    <row r="369" spans="1:1" ht="16" x14ac:dyDescent="0.2">
      <c r="A369" s="5"/>
    </row>
    <row r="370" spans="1:1" ht="16" x14ac:dyDescent="0.2">
      <c r="A370" s="5"/>
    </row>
    <row r="371" spans="1:1" ht="16" x14ac:dyDescent="0.2">
      <c r="A371" s="5"/>
    </row>
    <row r="372" spans="1:1" ht="16" x14ac:dyDescent="0.2">
      <c r="A372" s="5"/>
    </row>
    <row r="373" spans="1:1" ht="16" x14ac:dyDescent="0.2">
      <c r="A373" s="5"/>
    </row>
    <row r="374" spans="1:1" ht="16" x14ac:dyDescent="0.2">
      <c r="A374" s="5"/>
    </row>
    <row r="375" spans="1:1" ht="16" x14ac:dyDescent="0.2">
      <c r="A375" s="5"/>
    </row>
    <row r="376" spans="1:1" ht="16" x14ac:dyDescent="0.2">
      <c r="A376" s="5"/>
    </row>
    <row r="377" spans="1:1" ht="16" x14ac:dyDescent="0.2">
      <c r="A377" s="5"/>
    </row>
    <row r="378" spans="1:1" ht="16" x14ac:dyDescent="0.2">
      <c r="A378" s="5"/>
    </row>
    <row r="379" spans="1:1" ht="16" x14ac:dyDescent="0.2">
      <c r="A379" s="5"/>
    </row>
    <row r="380" spans="1:1" ht="16" x14ac:dyDescent="0.2">
      <c r="A380" s="5"/>
    </row>
    <row r="381" spans="1:1" ht="16" x14ac:dyDescent="0.2">
      <c r="A381" s="5"/>
    </row>
    <row r="382" spans="1:1" ht="16" x14ac:dyDescent="0.2">
      <c r="A382" s="5"/>
    </row>
    <row r="383" spans="1:1" ht="16" x14ac:dyDescent="0.2">
      <c r="A383" s="5"/>
    </row>
    <row r="384" spans="1:1" ht="16" x14ac:dyDescent="0.2">
      <c r="A384" s="5"/>
    </row>
    <row r="385" spans="1:1" ht="16" x14ac:dyDescent="0.2">
      <c r="A385" s="5"/>
    </row>
    <row r="386" spans="1:1" ht="16" x14ac:dyDescent="0.2">
      <c r="A386" s="5"/>
    </row>
    <row r="387" spans="1:1" ht="16" x14ac:dyDescent="0.2">
      <c r="A387" s="5"/>
    </row>
    <row r="388" spans="1:1" ht="16" x14ac:dyDescent="0.2">
      <c r="A388" s="5"/>
    </row>
    <row r="389" spans="1:1" ht="16" x14ac:dyDescent="0.2">
      <c r="A389" s="5"/>
    </row>
    <row r="390" spans="1:1" ht="16" x14ac:dyDescent="0.2">
      <c r="A390" s="5"/>
    </row>
    <row r="391" spans="1:1" ht="16" x14ac:dyDescent="0.2">
      <c r="A391" s="5"/>
    </row>
    <row r="392" spans="1:1" ht="16" x14ac:dyDescent="0.2">
      <c r="A392" s="5"/>
    </row>
    <row r="393" spans="1:1" ht="16" x14ac:dyDescent="0.2">
      <c r="A393" s="5"/>
    </row>
    <row r="394" spans="1:1" ht="16" x14ac:dyDescent="0.2">
      <c r="A394" s="5"/>
    </row>
    <row r="395" spans="1:1" ht="16" x14ac:dyDescent="0.2">
      <c r="A395" s="5"/>
    </row>
    <row r="396" spans="1:1" ht="16" x14ac:dyDescent="0.2">
      <c r="A396" s="5"/>
    </row>
    <row r="397" spans="1:1" ht="16" x14ac:dyDescent="0.2">
      <c r="A397" s="5"/>
    </row>
    <row r="398" spans="1:1" ht="16" x14ac:dyDescent="0.2">
      <c r="A398" s="5"/>
    </row>
    <row r="399" spans="1:1" ht="16" x14ac:dyDescent="0.2">
      <c r="A399" s="5"/>
    </row>
    <row r="400" spans="1:1" ht="16" x14ac:dyDescent="0.2">
      <c r="A400" s="5"/>
    </row>
    <row r="401" spans="1:1" ht="16" x14ac:dyDescent="0.2">
      <c r="A401" s="5"/>
    </row>
    <row r="402" spans="1:1" ht="16" x14ac:dyDescent="0.2">
      <c r="A402" s="5"/>
    </row>
    <row r="403" spans="1:1" ht="16" x14ac:dyDescent="0.2">
      <c r="A403" s="5"/>
    </row>
    <row r="404" spans="1:1" ht="16" x14ac:dyDescent="0.2">
      <c r="A404" s="5"/>
    </row>
    <row r="405" spans="1:1" ht="16" x14ac:dyDescent="0.2">
      <c r="A405" s="5"/>
    </row>
    <row r="406" spans="1:1" ht="16" x14ac:dyDescent="0.2">
      <c r="A406" s="5"/>
    </row>
    <row r="407" spans="1:1" ht="16" x14ac:dyDescent="0.2">
      <c r="A407" s="5"/>
    </row>
    <row r="408" spans="1:1" ht="16" x14ac:dyDescent="0.2">
      <c r="A408" s="5"/>
    </row>
    <row r="409" spans="1:1" ht="16" x14ac:dyDescent="0.2">
      <c r="A409" s="5"/>
    </row>
    <row r="410" spans="1:1" ht="16" x14ac:dyDescent="0.2">
      <c r="A410" s="5"/>
    </row>
    <row r="411" spans="1:1" ht="16" x14ac:dyDescent="0.2">
      <c r="A411" s="5"/>
    </row>
    <row r="412" spans="1:1" ht="16" x14ac:dyDescent="0.2">
      <c r="A412" s="5"/>
    </row>
    <row r="413" spans="1:1" ht="16" x14ac:dyDescent="0.2">
      <c r="A413" s="5"/>
    </row>
    <row r="414" spans="1:1" ht="16" x14ac:dyDescent="0.2">
      <c r="A414" s="5"/>
    </row>
    <row r="415" spans="1:1" ht="16" x14ac:dyDescent="0.2">
      <c r="A415" s="5"/>
    </row>
    <row r="416" spans="1:1" ht="16" x14ac:dyDescent="0.2">
      <c r="A416" s="5"/>
    </row>
    <row r="417" spans="1:1" ht="16" x14ac:dyDescent="0.2">
      <c r="A417" s="5"/>
    </row>
    <row r="418" spans="1:1" ht="16" x14ac:dyDescent="0.2">
      <c r="A418" s="5"/>
    </row>
    <row r="419" spans="1:1" ht="16" x14ac:dyDescent="0.2">
      <c r="A419" s="5"/>
    </row>
    <row r="420" spans="1:1" ht="16" x14ac:dyDescent="0.2">
      <c r="A420" s="5"/>
    </row>
    <row r="421" spans="1:1" ht="16" x14ac:dyDescent="0.2">
      <c r="A421" s="5"/>
    </row>
    <row r="422" spans="1:1" ht="16" x14ac:dyDescent="0.2">
      <c r="A422" s="5"/>
    </row>
    <row r="423" spans="1:1" ht="16" x14ac:dyDescent="0.2">
      <c r="A423" s="5"/>
    </row>
    <row r="424" spans="1:1" ht="16" x14ac:dyDescent="0.2">
      <c r="A424" s="5"/>
    </row>
    <row r="425" spans="1:1" ht="16" x14ac:dyDescent="0.2">
      <c r="A425" s="5"/>
    </row>
    <row r="426" spans="1:1" ht="16" x14ac:dyDescent="0.2">
      <c r="A426" s="5"/>
    </row>
    <row r="427" spans="1:1" ht="16" x14ac:dyDescent="0.2">
      <c r="A427" s="5"/>
    </row>
    <row r="428" spans="1:1" ht="16" x14ac:dyDescent="0.2">
      <c r="A428" s="5"/>
    </row>
    <row r="429" spans="1:1" ht="16" x14ac:dyDescent="0.2">
      <c r="A429" s="5"/>
    </row>
    <row r="430" spans="1:1" ht="16" x14ac:dyDescent="0.2">
      <c r="A430" s="5"/>
    </row>
    <row r="431" spans="1:1" ht="16" x14ac:dyDescent="0.2">
      <c r="A431" s="5"/>
    </row>
    <row r="432" spans="1:1" ht="16" x14ac:dyDescent="0.2">
      <c r="A432" s="5"/>
    </row>
    <row r="433" spans="1:1" ht="16" x14ac:dyDescent="0.2">
      <c r="A433" s="5"/>
    </row>
    <row r="434" spans="1:1" ht="16" x14ac:dyDescent="0.2">
      <c r="A434" s="5"/>
    </row>
    <row r="435" spans="1:1" ht="16" x14ac:dyDescent="0.2">
      <c r="A435" s="5"/>
    </row>
    <row r="436" spans="1:1" ht="16" x14ac:dyDescent="0.2">
      <c r="A436" s="5"/>
    </row>
    <row r="437" spans="1:1" ht="16" x14ac:dyDescent="0.2">
      <c r="A437" s="5"/>
    </row>
    <row r="438" spans="1:1" ht="16" x14ac:dyDescent="0.2">
      <c r="A438" s="5"/>
    </row>
    <row r="439" spans="1:1" ht="16" x14ac:dyDescent="0.2">
      <c r="A439" s="5"/>
    </row>
    <row r="440" spans="1:1" ht="16" x14ac:dyDescent="0.2">
      <c r="A440" s="5"/>
    </row>
    <row r="441" spans="1:1" ht="16" x14ac:dyDescent="0.2">
      <c r="A441" s="5"/>
    </row>
    <row r="442" spans="1:1" ht="16" x14ac:dyDescent="0.2">
      <c r="A442" s="5"/>
    </row>
    <row r="443" spans="1:1" ht="16" x14ac:dyDescent="0.2">
      <c r="A443" s="5"/>
    </row>
    <row r="444" spans="1:1" ht="16" x14ac:dyDescent="0.2">
      <c r="A444" s="5"/>
    </row>
    <row r="445" spans="1:1" ht="16" x14ac:dyDescent="0.2">
      <c r="A445" s="5"/>
    </row>
    <row r="446" spans="1:1" ht="16" x14ac:dyDescent="0.2">
      <c r="A446" s="5"/>
    </row>
    <row r="447" spans="1:1" ht="16" x14ac:dyDescent="0.2">
      <c r="A447" s="5"/>
    </row>
    <row r="448" spans="1:1" ht="16" x14ac:dyDescent="0.2">
      <c r="A448" s="5"/>
    </row>
    <row r="449" spans="1:1" ht="16" x14ac:dyDescent="0.2">
      <c r="A449" s="5"/>
    </row>
    <row r="450" spans="1:1" ht="16" x14ac:dyDescent="0.2">
      <c r="A450" s="5"/>
    </row>
    <row r="451" spans="1:1" ht="16" x14ac:dyDescent="0.2">
      <c r="A451" s="5"/>
    </row>
    <row r="452" spans="1:1" ht="16" x14ac:dyDescent="0.2">
      <c r="A452" s="5"/>
    </row>
    <row r="453" spans="1:1" ht="16" x14ac:dyDescent="0.2">
      <c r="A453" s="5"/>
    </row>
    <row r="454" spans="1:1" ht="16" x14ac:dyDescent="0.2">
      <c r="A454" s="5"/>
    </row>
    <row r="455" spans="1:1" ht="16" x14ac:dyDescent="0.2">
      <c r="A455" s="5"/>
    </row>
    <row r="456" spans="1:1" ht="16" x14ac:dyDescent="0.2">
      <c r="A456" s="5"/>
    </row>
    <row r="457" spans="1:1" ht="16" x14ac:dyDescent="0.2">
      <c r="A457" s="5"/>
    </row>
    <row r="458" spans="1:1" ht="16" x14ac:dyDescent="0.2">
      <c r="A458" s="5"/>
    </row>
    <row r="459" spans="1:1" ht="16" x14ac:dyDescent="0.2">
      <c r="A459" s="5"/>
    </row>
    <row r="460" spans="1:1" ht="16" x14ac:dyDescent="0.2">
      <c r="A460" s="5"/>
    </row>
    <row r="461" spans="1:1" ht="16" x14ac:dyDescent="0.2">
      <c r="A461" s="5"/>
    </row>
    <row r="462" spans="1:1" ht="16" x14ac:dyDescent="0.2">
      <c r="A462" s="5"/>
    </row>
    <row r="463" spans="1:1" ht="16" x14ac:dyDescent="0.2">
      <c r="A463" s="5"/>
    </row>
    <row r="464" spans="1:1" ht="16" x14ac:dyDescent="0.2">
      <c r="A464" s="5"/>
    </row>
    <row r="465" spans="1:1" ht="16" x14ac:dyDescent="0.2">
      <c r="A465" s="5"/>
    </row>
    <row r="466" spans="1:1" ht="16" x14ac:dyDescent="0.2">
      <c r="A466" s="5"/>
    </row>
    <row r="467" spans="1:1" ht="16" x14ac:dyDescent="0.2">
      <c r="A467" s="5"/>
    </row>
    <row r="468" spans="1:1" ht="16" x14ac:dyDescent="0.2">
      <c r="A468" s="5"/>
    </row>
    <row r="469" spans="1:1" ht="16" x14ac:dyDescent="0.2">
      <c r="A469" s="5"/>
    </row>
    <row r="470" spans="1:1" ht="16" x14ac:dyDescent="0.2">
      <c r="A470" s="5"/>
    </row>
    <row r="471" spans="1:1" ht="16" x14ac:dyDescent="0.2">
      <c r="A471" s="5"/>
    </row>
    <row r="472" spans="1:1" ht="16" x14ac:dyDescent="0.2">
      <c r="A472" s="5"/>
    </row>
    <row r="473" spans="1:1" ht="16" x14ac:dyDescent="0.2">
      <c r="A473" s="5"/>
    </row>
    <row r="474" spans="1:1" ht="16" x14ac:dyDescent="0.2">
      <c r="A474" s="5"/>
    </row>
    <row r="475" spans="1:1" ht="16" x14ac:dyDescent="0.2">
      <c r="A475" s="5"/>
    </row>
    <row r="476" spans="1:1" ht="16" x14ac:dyDescent="0.2">
      <c r="A476" s="5"/>
    </row>
    <row r="477" spans="1:1" ht="16" x14ac:dyDescent="0.2">
      <c r="A477" s="5"/>
    </row>
    <row r="478" spans="1:1" ht="16" x14ac:dyDescent="0.2">
      <c r="A478" s="5"/>
    </row>
    <row r="479" spans="1:1" ht="16" x14ac:dyDescent="0.2">
      <c r="A479" s="5"/>
    </row>
    <row r="480" spans="1:1" ht="16" x14ac:dyDescent="0.2">
      <c r="A480" s="5"/>
    </row>
    <row r="481" spans="1:1" ht="16" x14ac:dyDescent="0.2">
      <c r="A481" s="5"/>
    </row>
    <row r="482" spans="1:1" ht="16" x14ac:dyDescent="0.2">
      <c r="A482" s="5"/>
    </row>
    <row r="483" spans="1:1" ht="16" x14ac:dyDescent="0.2">
      <c r="A483" s="5"/>
    </row>
    <row r="484" spans="1:1" ht="16" x14ac:dyDescent="0.2">
      <c r="A484" s="5"/>
    </row>
    <row r="485" spans="1:1" ht="16" x14ac:dyDescent="0.2">
      <c r="A485" s="5"/>
    </row>
    <row r="486" spans="1:1" ht="16" x14ac:dyDescent="0.2">
      <c r="A486" s="5"/>
    </row>
    <row r="487" spans="1:1" ht="16" x14ac:dyDescent="0.2">
      <c r="A487" s="5"/>
    </row>
    <row r="488" spans="1:1" ht="16" x14ac:dyDescent="0.2">
      <c r="A488" s="5"/>
    </row>
    <row r="489" spans="1:1" ht="16" x14ac:dyDescent="0.2">
      <c r="A489" s="5"/>
    </row>
    <row r="490" spans="1:1" ht="16" x14ac:dyDescent="0.2">
      <c r="A490" s="5"/>
    </row>
    <row r="491" spans="1:1" ht="16" x14ac:dyDescent="0.2">
      <c r="A491" s="5"/>
    </row>
    <row r="492" spans="1:1" ht="16" x14ac:dyDescent="0.2">
      <c r="A492" s="5"/>
    </row>
    <row r="493" spans="1:1" ht="16" x14ac:dyDescent="0.2">
      <c r="A493" s="5"/>
    </row>
    <row r="494" spans="1:1" ht="16" x14ac:dyDescent="0.2">
      <c r="A494" s="5"/>
    </row>
    <row r="495" spans="1:1" ht="16" x14ac:dyDescent="0.2">
      <c r="A495" s="5"/>
    </row>
    <row r="496" spans="1:1" ht="16" x14ac:dyDescent="0.2">
      <c r="A496" s="5"/>
    </row>
    <row r="497" spans="1:1" ht="16" x14ac:dyDescent="0.2">
      <c r="A497" s="5"/>
    </row>
    <row r="498" spans="1:1" ht="16" x14ac:dyDescent="0.2">
      <c r="A498" s="5"/>
    </row>
    <row r="499" spans="1:1" ht="16" x14ac:dyDescent="0.2">
      <c r="A499" s="5"/>
    </row>
    <row r="500" spans="1:1" ht="16" x14ac:dyDescent="0.2">
      <c r="A500" s="5"/>
    </row>
    <row r="501" spans="1:1" ht="16" x14ac:dyDescent="0.2">
      <c r="A501" s="5"/>
    </row>
    <row r="502" spans="1:1" ht="16" x14ac:dyDescent="0.2">
      <c r="A502" s="5"/>
    </row>
    <row r="503" spans="1:1" ht="16" x14ac:dyDescent="0.2">
      <c r="A503" s="5"/>
    </row>
    <row r="504" spans="1:1" ht="16" x14ac:dyDescent="0.2">
      <c r="A504" s="5"/>
    </row>
    <row r="505" spans="1:1" ht="16" x14ac:dyDescent="0.2">
      <c r="A505" s="5"/>
    </row>
    <row r="506" spans="1:1" ht="16" x14ac:dyDescent="0.2">
      <c r="A506" s="5"/>
    </row>
    <row r="507" spans="1:1" ht="16" x14ac:dyDescent="0.2">
      <c r="A507" s="5"/>
    </row>
    <row r="508" spans="1:1" ht="16" x14ac:dyDescent="0.2">
      <c r="A508" s="5"/>
    </row>
    <row r="509" spans="1:1" ht="16" x14ac:dyDescent="0.2">
      <c r="A509" s="5"/>
    </row>
    <row r="510" spans="1:1" ht="16" x14ac:dyDescent="0.2">
      <c r="A510" s="5"/>
    </row>
    <row r="511" spans="1:1" ht="16" x14ac:dyDescent="0.2">
      <c r="A511" s="5"/>
    </row>
    <row r="512" spans="1:1" ht="16" x14ac:dyDescent="0.2">
      <c r="A512" s="5"/>
    </row>
    <row r="513" spans="1:1" ht="16" x14ac:dyDescent="0.2">
      <c r="A513" s="5"/>
    </row>
    <row r="514" spans="1:1" ht="16" x14ac:dyDescent="0.2">
      <c r="A514" s="5"/>
    </row>
    <row r="515" spans="1:1" ht="16" x14ac:dyDescent="0.2">
      <c r="A515" s="5"/>
    </row>
    <row r="516" spans="1:1" ht="16" x14ac:dyDescent="0.2">
      <c r="A516" s="5"/>
    </row>
    <row r="517" spans="1:1" ht="16" x14ac:dyDescent="0.2">
      <c r="A517" s="5"/>
    </row>
    <row r="518" spans="1:1" ht="16" x14ac:dyDescent="0.2">
      <c r="A518" s="5"/>
    </row>
    <row r="519" spans="1:1" ht="16" x14ac:dyDescent="0.2">
      <c r="A519" s="5"/>
    </row>
    <row r="520" spans="1:1" ht="16" x14ac:dyDescent="0.2">
      <c r="A520" s="5"/>
    </row>
    <row r="521" spans="1:1" ht="16" x14ac:dyDescent="0.2">
      <c r="A521" s="5"/>
    </row>
    <row r="522" spans="1:1" ht="16" x14ac:dyDescent="0.2">
      <c r="A522" s="5"/>
    </row>
    <row r="523" spans="1:1" ht="16" x14ac:dyDescent="0.2">
      <c r="A523" s="5"/>
    </row>
    <row r="524" spans="1:1" ht="16" x14ac:dyDescent="0.2">
      <c r="A524" s="5"/>
    </row>
    <row r="525" spans="1:1" ht="16" x14ac:dyDescent="0.2">
      <c r="A525" s="5"/>
    </row>
    <row r="526" spans="1:1" ht="16" x14ac:dyDescent="0.2">
      <c r="A526" s="5"/>
    </row>
    <row r="527" spans="1:1" ht="16" x14ac:dyDescent="0.2">
      <c r="A527" s="5"/>
    </row>
    <row r="528" spans="1:1" ht="16" x14ac:dyDescent="0.2">
      <c r="A528" s="5"/>
    </row>
    <row r="529" spans="1:1" ht="16" x14ac:dyDescent="0.2">
      <c r="A529" s="5"/>
    </row>
    <row r="530" spans="1:1" ht="16" x14ac:dyDescent="0.2">
      <c r="A530" s="5"/>
    </row>
    <row r="531" spans="1:1" ht="16" x14ac:dyDescent="0.2">
      <c r="A531" s="5"/>
    </row>
    <row r="532" spans="1:1" ht="16" x14ac:dyDescent="0.2">
      <c r="A532" s="5"/>
    </row>
    <row r="533" spans="1:1" ht="16" x14ac:dyDescent="0.2">
      <c r="A533" s="5"/>
    </row>
    <row r="534" spans="1:1" ht="16" x14ac:dyDescent="0.2">
      <c r="A534" s="5"/>
    </row>
    <row r="535" spans="1:1" ht="16" x14ac:dyDescent="0.2">
      <c r="A535" s="5"/>
    </row>
    <row r="536" spans="1:1" ht="16" x14ac:dyDescent="0.2">
      <c r="A536" s="5"/>
    </row>
    <row r="537" spans="1:1" ht="16" x14ac:dyDescent="0.2">
      <c r="A537" s="5"/>
    </row>
    <row r="538" spans="1:1" ht="16" x14ac:dyDescent="0.2">
      <c r="A538" s="5"/>
    </row>
    <row r="539" spans="1:1" ht="16" x14ac:dyDescent="0.2">
      <c r="A539" s="5"/>
    </row>
    <row r="540" spans="1:1" ht="16" x14ac:dyDescent="0.2">
      <c r="A540" s="5"/>
    </row>
    <row r="541" spans="1:1" ht="16" x14ac:dyDescent="0.2">
      <c r="A541" s="5"/>
    </row>
    <row r="542" spans="1:1" ht="16" x14ac:dyDescent="0.2">
      <c r="A542" s="5"/>
    </row>
    <row r="543" spans="1:1" ht="16" x14ac:dyDescent="0.2">
      <c r="A543" s="5"/>
    </row>
    <row r="544" spans="1:1" ht="16" x14ac:dyDescent="0.2">
      <c r="A544" s="5"/>
    </row>
    <row r="545" spans="1:1" ht="16" x14ac:dyDescent="0.2">
      <c r="A545" s="5"/>
    </row>
    <row r="546" spans="1:1" ht="16" x14ac:dyDescent="0.2">
      <c r="A546" s="5"/>
    </row>
    <row r="547" spans="1:1" ht="16" x14ac:dyDescent="0.2">
      <c r="A547" s="5"/>
    </row>
    <row r="548" spans="1:1" ht="16" x14ac:dyDescent="0.2">
      <c r="A548" s="5"/>
    </row>
    <row r="549" spans="1:1" ht="16" x14ac:dyDescent="0.2">
      <c r="A549" s="5"/>
    </row>
    <row r="550" spans="1:1" ht="16" x14ac:dyDescent="0.2">
      <c r="A550" s="5"/>
    </row>
    <row r="551" spans="1:1" ht="16" x14ac:dyDescent="0.2">
      <c r="A551" s="5"/>
    </row>
    <row r="552" spans="1:1" ht="16" x14ac:dyDescent="0.2">
      <c r="A552" s="5"/>
    </row>
    <row r="553" spans="1:1" ht="16" x14ac:dyDescent="0.2">
      <c r="A553" s="5"/>
    </row>
    <row r="554" spans="1:1" ht="16" x14ac:dyDescent="0.2">
      <c r="A554" s="5"/>
    </row>
    <row r="555" spans="1:1" ht="16" x14ac:dyDescent="0.2">
      <c r="A555" s="5"/>
    </row>
    <row r="556" spans="1:1" ht="16" x14ac:dyDescent="0.2">
      <c r="A556" s="5"/>
    </row>
    <row r="557" spans="1:1" ht="16" x14ac:dyDescent="0.2">
      <c r="A557" s="5"/>
    </row>
    <row r="558" spans="1:1" ht="16" x14ac:dyDescent="0.2">
      <c r="A558" s="5"/>
    </row>
    <row r="559" spans="1:1" ht="16" x14ac:dyDescent="0.2">
      <c r="A559" s="5"/>
    </row>
    <row r="560" spans="1:1" ht="16" x14ac:dyDescent="0.2">
      <c r="A560" s="5"/>
    </row>
    <row r="561" spans="1:1" ht="16" x14ac:dyDescent="0.2">
      <c r="A561" s="5"/>
    </row>
    <row r="562" spans="1:1" ht="16" x14ac:dyDescent="0.2">
      <c r="A562" s="5"/>
    </row>
    <row r="563" spans="1:1" ht="16" x14ac:dyDescent="0.2">
      <c r="A563" s="5"/>
    </row>
    <row r="564" spans="1:1" ht="16" x14ac:dyDescent="0.2">
      <c r="A564" s="5"/>
    </row>
    <row r="565" spans="1:1" ht="16" x14ac:dyDescent="0.2">
      <c r="A565" s="5"/>
    </row>
    <row r="566" spans="1:1" ht="16" x14ac:dyDescent="0.2">
      <c r="A566" s="5"/>
    </row>
    <row r="567" spans="1:1" ht="16" x14ac:dyDescent="0.2">
      <c r="A567" s="5"/>
    </row>
    <row r="568" spans="1:1" ht="16" x14ac:dyDescent="0.2">
      <c r="A568" s="5"/>
    </row>
    <row r="569" spans="1:1" ht="16" x14ac:dyDescent="0.2">
      <c r="A569" s="5"/>
    </row>
    <row r="570" spans="1:1" ht="16" x14ac:dyDescent="0.2">
      <c r="A570" s="5"/>
    </row>
    <row r="571" spans="1:1" ht="16" x14ac:dyDescent="0.2">
      <c r="A571" s="5"/>
    </row>
    <row r="572" spans="1:1" ht="16" x14ac:dyDescent="0.2">
      <c r="A572" s="5"/>
    </row>
    <row r="573" spans="1:1" ht="16" x14ac:dyDescent="0.2">
      <c r="A573" s="5"/>
    </row>
    <row r="574" spans="1:1" ht="16" x14ac:dyDescent="0.2">
      <c r="A574" s="5"/>
    </row>
    <row r="575" spans="1:1" ht="16" x14ac:dyDescent="0.2">
      <c r="A575" s="5"/>
    </row>
    <row r="576" spans="1:1" ht="16" x14ac:dyDescent="0.2">
      <c r="A576" s="5"/>
    </row>
    <row r="577" spans="1:1" ht="16" x14ac:dyDescent="0.2">
      <c r="A577" s="5"/>
    </row>
    <row r="578" spans="1:1" ht="16" x14ac:dyDescent="0.2">
      <c r="A578" s="5"/>
    </row>
    <row r="579" spans="1:1" ht="16" x14ac:dyDescent="0.2">
      <c r="A579" s="5"/>
    </row>
    <row r="580" spans="1:1" ht="16" x14ac:dyDescent="0.2">
      <c r="A580" s="5"/>
    </row>
    <row r="581" spans="1:1" ht="16" x14ac:dyDescent="0.2">
      <c r="A581" s="5"/>
    </row>
    <row r="582" spans="1:1" ht="16" x14ac:dyDescent="0.2">
      <c r="A582" s="5"/>
    </row>
    <row r="583" spans="1:1" ht="16" x14ac:dyDescent="0.2">
      <c r="A583" s="5"/>
    </row>
    <row r="584" spans="1:1" ht="16" x14ac:dyDescent="0.2">
      <c r="A584" s="5"/>
    </row>
    <row r="585" spans="1:1" ht="16" x14ac:dyDescent="0.2">
      <c r="A585" s="5"/>
    </row>
    <row r="586" spans="1:1" ht="16" x14ac:dyDescent="0.2">
      <c r="A586" s="5"/>
    </row>
    <row r="587" spans="1:1" ht="16" x14ac:dyDescent="0.2">
      <c r="A587" s="5"/>
    </row>
    <row r="588" spans="1:1" ht="16" x14ac:dyDescent="0.2">
      <c r="A588" s="5"/>
    </row>
    <row r="589" spans="1:1" ht="16" x14ac:dyDescent="0.2">
      <c r="A589" s="5"/>
    </row>
    <row r="590" spans="1:1" ht="16" x14ac:dyDescent="0.2">
      <c r="A590" s="5"/>
    </row>
    <row r="591" spans="1:1" ht="16" x14ac:dyDescent="0.2">
      <c r="A591" s="5"/>
    </row>
    <row r="592" spans="1:1" ht="16" x14ac:dyDescent="0.2">
      <c r="A592" s="5"/>
    </row>
    <row r="593" spans="1:1" ht="16" x14ac:dyDescent="0.2">
      <c r="A593" s="5"/>
    </row>
    <row r="594" spans="1:1" ht="16" x14ac:dyDescent="0.2">
      <c r="A594" s="5"/>
    </row>
    <row r="595" spans="1:1" ht="16" x14ac:dyDescent="0.2">
      <c r="A595" s="5"/>
    </row>
    <row r="596" spans="1:1" ht="16" x14ac:dyDescent="0.2">
      <c r="A596" s="5"/>
    </row>
    <row r="597" spans="1:1" ht="16" x14ac:dyDescent="0.2">
      <c r="A597" s="5"/>
    </row>
    <row r="598" spans="1:1" ht="16" x14ac:dyDescent="0.2">
      <c r="A598" s="5"/>
    </row>
    <row r="599" spans="1:1" ht="16" x14ac:dyDescent="0.2">
      <c r="A599" s="5"/>
    </row>
    <row r="600" spans="1:1" ht="16" x14ac:dyDescent="0.2">
      <c r="A600" s="5"/>
    </row>
    <row r="601" spans="1:1" ht="16" x14ac:dyDescent="0.2">
      <c r="A601" s="5"/>
    </row>
    <row r="602" spans="1:1" ht="16" x14ac:dyDescent="0.2">
      <c r="A602" s="5"/>
    </row>
    <row r="603" spans="1:1" ht="16" x14ac:dyDescent="0.2">
      <c r="A603" s="5"/>
    </row>
    <row r="604" spans="1:1" ht="16" x14ac:dyDescent="0.2">
      <c r="A604" s="5"/>
    </row>
    <row r="605" spans="1:1" ht="16" x14ac:dyDescent="0.2">
      <c r="A605" s="5"/>
    </row>
    <row r="606" spans="1:1" ht="16" x14ac:dyDescent="0.2">
      <c r="A606" s="5"/>
    </row>
    <row r="607" spans="1:1" ht="16" x14ac:dyDescent="0.2">
      <c r="A607" s="5"/>
    </row>
    <row r="608" spans="1:1" ht="16" x14ac:dyDescent="0.2">
      <c r="A608" s="5"/>
    </row>
    <row r="609" spans="1:1" ht="16" x14ac:dyDescent="0.2">
      <c r="A609" s="5"/>
    </row>
    <row r="610" spans="1:1" ht="16" x14ac:dyDescent="0.2">
      <c r="A610" s="5"/>
    </row>
    <row r="611" spans="1:1" ht="16" x14ac:dyDescent="0.2">
      <c r="A611" s="5"/>
    </row>
    <row r="612" spans="1:1" ht="16" x14ac:dyDescent="0.2">
      <c r="A612" s="5"/>
    </row>
    <row r="613" spans="1:1" ht="16" x14ac:dyDescent="0.2">
      <c r="A613" s="5"/>
    </row>
    <row r="614" spans="1:1" ht="16" x14ac:dyDescent="0.2">
      <c r="A614" s="5"/>
    </row>
    <row r="615" spans="1:1" ht="16" x14ac:dyDescent="0.2">
      <c r="A615" s="5"/>
    </row>
    <row r="616" spans="1:1" ht="16" x14ac:dyDescent="0.2">
      <c r="A616" s="5"/>
    </row>
    <row r="617" spans="1:1" ht="16" x14ac:dyDescent="0.2">
      <c r="A617" s="5"/>
    </row>
    <row r="618" spans="1:1" ht="16" x14ac:dyDescent="0.2">
      <c r="A618" s="5"/>
    </row>
    <row r="619" spans="1:1" ht="16" x14ac:dyDescent="0.2">
      <c r="A619" s="5"/>
    </row>
    <row r="620" spans="1:1" ht="16" x14ac:dyDescent="0.2">
      <c r="A620" s="5"/>
    </row>
    <row r="621" spans="1:1" ht="16" x14ac:dyDescent="0.2">
      <c r="A621" s="5"/>
    </row>
    <row r="622" spans="1:1" ht="16" x14ac:dyDescent="0.2">
      <c r="A622" s="5"/>
    </row>
    <row r="623" spans="1:1" ht="16" x14ac:dyDescent="0.2">
      <c r="A623" s="5"/>
    </row>
    <row r="624" spans="1:1" ht="16" x14ac:dyDescent="0.2">
      <c r="A624" s="5"/>
    </row>
    <row r="625" spans="1:1" ht="16" x14ac:dyDescent="0.2">
      <c r="A625" s="5"/>
    </row>
    <row r="626" spans="1:1" ht="16" x14ac:dyDescent="0.2">
      <c r="A626" s="5"/>
    </row>
    <row r="627" spans="1:1" ht="16" x14ac:dyDescent="0.2">
      <c r="A627" s="5"/>
    </row>
    <row r="628" spans="1:1" ht="16" x14ac:dyDescent="0.2">
      <c r="A628" s="5"/>
    </row>
    <row r="629" spans="1:1" ht="16" x14ac:dyDescent="0.2">
      <c r="A629" s="5"/>
    </row>
    <row r="630" spans="1:1" ht="16" x14ac:dyDescent="0.2">
      <c r="A630" s="5"/>
    </row>
    <row r="631" spans="1:1" ht="16" x14ac:dyDescent="0.2">
      <c r="A631" s="5"/>
    </row>
    <row r="632" spans="1:1" ht="16" x14ac:dyDescent="0.2">
      <c r="A632" s="5"/>
    </row>
    <row r="633" spans="1:1" ht="16" x14ac:dyDescent="0.2">
      <c r="A633" s="5"/>
    </row>
    <row r="634" spans="1:1" ht="16" x14ac:dyDescent="0.2">
      <c r="A634" s="5"/>
    </row>
    <row r="635" spans="1:1" ht="16" x14ac:dyDescent="0.2">
      <c r="A635" s="5"/>
    </row>
    <row r="636" spans="1:1" ht="16" x14ac:dyDescent="0.2">
      <c r="A636" s="5"/>
    </row>
    <row r="637" spans="1:1" ht="16" x14ac:dyDescent="0.2">
      <c r="A637" s="5"/>
    </row>
    <row r="638" spans="1:1" ht="16" x14ac:dyDescent="0.2">
      <c r="A638" s="5"/>
    </row>
    <row r="639" spans="1:1" ht="16" x14ac:dyDescent="0.2">
      <c r="A639" s="5"/>
    </row>
    <row r="640" spans="1:1" ht="16" x14ac:dyDescent="0.2">
      <c r="A640" s="5"/>
    </row>
    <row r="641" spans="1:1" ht="16" x14ac:dyDescent="0.2">
      <c r="A641" s="5"/>
    </row>
    <row r="642" spans="1:1" ht="16" x14ac:dyDescent="0.2">
      <c r="A642" s="5"/>
    </row>
    <row r="643" spans="1:1" ht="16" x14ac:dyDescent="0.2">
      <c r="A643" s="5"/>
    </row>
    <row r="644" spans="1:1" ht="16" x14ac:dyDescent="0.2">
      <c r="A644" s="5"/>
    </row>
    <row r="645" spans="1:1" ht="16" x14ac:dyDescent="0.2">
      <c r="A645" s="5"/>
    </row>
    <row r="646" spans="1:1" ht="16" x14ac:dyDescent="0.2">
      <c r="A646" s="5"/>
    </row>
    <row r="647" spans="1:1" ht="16" x14ac:dyDescent="0.2">
      <c r="A647" s="5"/>
    </row>
    <row r="648" spans="1:1" ht="16" x14ac:dyDescent="0.2">
      <c r="A648" s="5"/>
    </row>
    <row r="649" spans="1:1" ht="16" x14ac:dyDescent="0.2">
      <c r="A649" s="5"/>
    </row>
    <row r="650" spans="1:1" ht="16" x14ac:dyDescent="0.2">
      <c r="A650" s="5"/>
    </row>
    <row r="651" spans="1:1" ht="16" x14ac:dyDescent="0.2">
      <c r="A651" s="5"/>
    </row>
    <row r="652" spans="1:1" ht="16" x14ac:dyDescent="0.2">
      <c r="A652" s="5"/>
    </row>
    <row r="653" spans="1:1" ht="16" x14ac:dyDescent="0.2">
      <c r="A653" s="5"/>
    </row>
    <row r="654" spans="1:1" ht="16" x14ac:dyDescent="0.2">
      <c r="A654" s="5"/>
    </row>
    <row r="655" spans="1:1" ht="16" x14ac:dyDescent="0.2">
      <c r="A655" s="5"/>
    </row>
    <row r="656" spans="1:1" ht="16" x14ac:dyDescent="0.2">
      <c r="A656" s="5"/>
    </row>
    <row r="657" spans="1:1" ht="16" x14ac:dyDescent="0.2">
      <c r="A657" s="5"/>
    </row>
    <row r="658" spans="1:1" ht="16" x14ac:dyDescent="0.2">
      <c r="A658" s="5"/>
    </row>
    <row r="659" spans="1:1" ht="16" x14ac:dyDescent="0.2">
      <c r="A659" s="5"/>
    </row>
    <row r="660" spans="1:1" ht="16" x14ac:dyDescent="0.2">
      <c r="A660" s="5"/>
    </row>
    <row r="661" spans="1:1" ht="16" x14ac:dyDescent="0.2">
      <c r="A661" s="5"/>
    </row>
    <row r="662" spans="1:1" ht="16" x14ac:dyDescent="0.2">
      <c r="A662" s="5"/>
    </row>
    <row r="663" spans="1:1" ht="16" x14ac:dyDescent="0.2">
      <c r="A663" s="5"/>
    </row>
    <row r="664" spans="1:1" ht="16" x14ac:dyDescent="0.2">
      <c r="A664" s="5"/>
    </row>
    <row r="665" spans="1:1" ht="16" x14ac:dyDescent="0.2">
      <c r="A665" s="5"/>
    </row>
    <row r="666" spans="1:1" ht="16" x14ac:dyDescent="0.2">
      <c r="A666" s="5"/>
    </row>
    <row r="667" spans="1:1" ht="16" x14ac:dyDescent="0.2">
      <c r="A667" s="5"/>
    </row>
    <row r="668" spans="1:1" ht="16" x14ac:dyDescent="0.2">
      <c r="A668" s="5"/>
    </row>
    <row r="669" spans="1:1" ht="16" x14ac:dyDescent="0.2">
      <c r="A669" s="5"/>
    </row>
    <row r="670" spans="1:1" ht="16" x14ac:dyDescent="0.2">
      <c r="A670" s="5"/>
    </row>
    <row r="671" spans="1:1" ht="16" x14ac:dyDescent="0.2">
      <c r="A671" s="5"/>
    </row>
    <row r="672" spans="1:1" ht="16" x14ac:dyDescent="0.2">
      <c r="A672" s="5"/>
    </row>
    <row r="673" spans="1:1" ht="16" x14ac:dyDescent="0.2">
      <c r="A673" s="5"/>
    </row>
    <row r="674" spans="1:1" ht="16" x14ac:dyDescent="0.2">
      <c r="A674" s="5"/>
    </row>
    <row r="675" spans="1:1" ht="16" x14ac:dyDescent="0.2">
      <c r="A675" s="5"/>
    </row>
    <row r="676" spans="1:1" ht="16" x14ac:dyDescent="0.2">
      <c r="A676" s="5"/>
    </row>
    <row r="677" spans="1:1" ht="16" x14ac:dyDescent="0.2">
      <c r="A677" s="5"/>
    </row>
    <row r="678" spans="1:1" ht="16" x14ac:dyDescent="0.2">
      <c r="A678" s="5"/>
    </row>
    <row r="679" spans="1:1" ht="16" x14ac:dyDescent="0.2">
      <c r="A679" s="5"/>
    </row>
    <row r="680" spans="1:1" ht="16" x14ac:dyDescent="0.2">
      <c r="A680" s="5"/>
    </row>
    <row r="681" spans="1:1" ht="16" x14ac:dyDescent="0.2">
      <c r="A681" s="5"/>
    </row>
    <row r="682" spans="1:1" ht="16" x14ac:dyDescent="0.2">
      <c r="A682" s="5"/>
    </row>
    <row r="683" spans="1:1" ht="16" x14ac:dyDescent="0.2">
      <c r="A683" s="5"/>
    </row>
    <row r="684" spans="1:1" ht="16" x14ac:dyDescent="0.2">
      <c r="A684" s="5"/>
    </row>
    <row r="685" spans="1:1" ht="16" x14ac:dyDescent="0.2">
      <c r="A685" s="5"/>
    </row>
    <row r="686" spans="1:1" ht="16" x14ac:dyDescent="0.2">
      <c r="A686" s="5"/>
    </row>
    <row r="687" spans="1:1" ht="16" x14ac:dyDescent="0.2">
      <c r="A687" s="5"/>
    </row>
    <row r="688" spans="1:1" ht="16" x14ac:dyDescent="0.2">
      <c r="A688" s="5"/>
    </row>
    <row r="689" spans="1:1" ht="16" x14ac:dyDescent="0.2">
      <c r="A689" s="5"/>
    </row>
    <row r="690" spans="1:1" ht="16" x14ac:dyDescent="0.2">
      <c r="A690" s="5"/>
    </row>
    <row r="691" spans="1:1" ht="16" x14ac:dyDescent="0.2">
      <c r="A691" s="5"/>
    </row>
    <row r="692" spans="1:1" ht="16" x14ac:dyDescent="0.2">
      <c r="A692" s="5"/>
    </row>
    <row r="693" spans="1:1" ht="16" x14ac:dyDescent="0.2">
      <c r="A693" s="5"/>
    </row>
    <row r="694" spans="1:1" ht="16" x14ac:dyDescent="0.2">
      <c r="A694" s="5"/>
    </row>
    <row r="695" spans="1:1" ht="16" x14ac:dyDescent="0.2">
      <c r="A695" s="5"/>
    </row>
    <row r="696" spans="1:1" ht="16" x14ac:dyDescent="0.2">
      <c r="A696" s="5"/>
    </row>
    <row r="697" spans="1:1" ht="16" x14ac:dyDescent="0.2">
      <c r="A697" s="5"/>
    </row>
    <row r="698" spans="1:1" ht="16" x14ac:dyDescent="0.2">
      <c r="A698" s="5"/>
    </row>
    <row r="699" spans="1:1" ht="16" x14ac:dyDescent="0.2">
      <c r="A699" s="5"/>
    </row>
    <row r="700" spans="1:1" ht="16" x14ac:dyDescent="0.2">
      <c r="A700" s="5"/>
    </row>
    <row r="701" spans="1:1" ht="16" x14ac:dyDescent="0.2">
      <c r="A701" s="5"/>
    </row>
    <row r="702" spans="1:1" ht="16" x14ac:dyDescent="0.2">
      <c r="A702" s="5"/>
    </row>
    <row r="703" spans="1:1" ht="16" x14ac:dyDescent="0.2">
      <c r="A703" s="5"/>
    </row>
    <row r="704" spans="1:1" ht="16" x14ac:dyDescent="0.2">
      <c r="A704" s="5"/>
    </row>
    <row r="705" spans="1:1" ht="16" x14ac:dyDescent="0.2">
      <c r="A705" s="5"/>
    </row>
    <row r="706" spans="1:1" ht="16" x14ac:dyDescent="0.2">
      <c r="A706" s="5"/>
    </row>
    <row r="707" spans="1:1" ht="16" x14ac:dyDescent="0.2">
      <c r="A707" s="5"/>
    </row>
    <row r="708" spans="1:1" ht="16" x14ac:dyDescent="0.2">
      <c r="A708" s="5"/>
    </row>
    <row r="709" spans="1:1" ht="16" x14ac:dyDescent="0.2">
      <c r="A709" s="5"/>
    </row>
    <row r="710" spans="1:1" ht="16" x14ac:dyDescent="0.2">
      <c r="A710" s="5"/>
    </row>
    <row r="711" spans="1:1" ht="16" x14ac:dyDescent="0.2">
      <c r="A711" s="5"/>
    </row>
    <row r="712" spans="1:1" ht="16" x14ac:dyDescent="0.2">
      <c r="A712" s="5"/>
    </row>
    <row r="713" spans="1:1" ht="16" x14ac:dyDescent="0.2">
      <c r="A713" s="5"/>
    </row>
    <row r="714" spans="1:1" ht="16" x14ac:dyDescent="0.2">
      <c r="A714" s="5"/>
    </row>
    <row r="715" spans="1:1" ht="16" x14ac:dyDescent="0.2">
      <c r="A715" s="5"/>
    </row>
    <row r="716" spans="1:1" ht="16" x14ac:dyDescent="0.2">
      <c r="A716" s="5"/>
    </row>
    <row r="717" spans="1:1" ht="16" x14ac:dyDescent="0.2">
      <c r="A717" s="5"/>
    </row>
    <row r="718" spans="1:1" ht="16" x14ac:dyDescent="0.2">
      <c r="A718" s="5"/>
    </row>
    <row r="719" spans="1:1" ht="16" x14ac:dyDescent="0.2">
      <c r="A719" s="5"/>
    </row>
    <row r="720" spans="1:1" ht="16" x14ac:dyDescent="0.2">
      <c r="A720" s="5"/>
    </row>
    <row r="721" spans="1:1" ht="16" x14ac:dyDescent="0.2">
      <c r="A721" s="5"/>
    </row>
    <row r="722" spans="1:1" ht="16" x14ac:dyDescent="0.2">
      <c r="A722" s="5"/>
    </row>
    <row r="723" spans="1:1" ht="16" x14ac:dyDescent="0.2">
      <c r="A723" s="5"/>
    </row>
    <row r="724" spans="1:1" ht="16" x14ac:dyDescent="0.2">
      <c r="A724" s="5"/>
    </row>
    <row r="725" spans="1:1" ht="16" x14ac:dyDescent="0.2">
      <c r="A725" s="5"/>
    </row>
    <row r="726" spans="1:1" ht="16" x14ac:dyDescent="0.2">
      <c r="A726" s="5"/>
    </row>
    <row r="727" spans="1:1" ht="16" x14ac:dyDescent="0.2">
      <c r="A727" s="5"/>
    </row>
    <row r="728" spans="1:1" ht="16" x14ac:dyDescent="0.2">
      <c r="A728" s="5"/>
    </row>
    <row r="729" spans="1:1" ht="16" x14ac:dyDescent="0.2">
      <c r="A729" s="5"/>
    </row>
    <row r="730" spans="1:1" ht="16" x14ac:dyDescent="0.2">
      <c r="A730" s="5"/>
    </row>
    <row r="731" spans="1:1" ht="16" x14ac:dyDescent="0.2">
      <c r="A731" s="5"/>
    </row>
    <row r="732" spans="1:1" ht="16" x14ac:dyDescent="0.2">
      <c r="A732" s="5"/>
    </row>
    <row r="733" spans="1:1" ht="16" x14ac:dyDescent="0.2">
      <c r="A733" s="5"/>
    </row>
    <row r="734" spans="1:1" ht="16" x14ac:dyDescent="0.2">
      <c r="A734" s="5"/>
    </row>
    <row r="735" spans="1:1" ht="16" x14ac:dyDescent="0.2">
      <c r="A735" s="5"/>
    </row>
    <row r="736" spans="1:1" ht="16" x14ac:dyDescent="0.2">
      <c r="A736" s="5"/>
    </row>
    <row r="737" spans="1:1" ht="16" x14ac:dyDescent="0.2">
      <c r="A737" s="5"/>
    </row>
    <row r="738" spans="1:1" ht="16" x14ac:dyDescent="0.2">
      <c r="A738" s="5"/>
    </row>
    <row r="739" spans="1:1" ht="16" x14ac:dyDescent="0.2">
      <c r="A739" s="5"/>
    </row>
    <row r="740" spans="1:1" ht="16" x14ac:dyDescent="0.2">
      <c r="A740" s="5"/>
    </row>
    <row r="741" spans="1:1" ht="16" x14ac:dyDescent="0.2">
      <c r="A741" s="5"/>
    </row>
    <row r="742" spans="1:1" ht="16" x14ac:dyDescent="0.2">
      <c r="A742" s="5"/>
    </row>
    <row r="743" spans="1:1" ht="16" x14ac:dyDescent="0.2">
      <c r="A743" s="5"/>
    </row>
    <row r="744" spans="1:1" ht="16" x14ac:dyDescent="0.2">
      <c r="A744" s="5"/>
    </row>
    <row r="745" spans="1:1" ht="16" x14ac:dyDescent="0.2">
      <c r="A745" s="5"/>
    </row>
    <row r="746" spans="1:1" ht="16" x14ac:dyDescent="0.2">
      <c r="A746" s="5"/>
    </row>
    <row r="747" spans="1:1" ht="16" x14ac:dyDescent="0.2">
      <c r="A747" s="5"/>
    </row>
    <row r="748" spans="1:1" ht="16" x14ac:dyDescent="0.2">
      <c r="A748" s="5"/>
    </row>
    <row r="749" spans="1:1" ht="16" x14ac:dyDescent="0.2">
      <c r="A749" s="5"/>
    </row>
    <row r="750" spans="1:1" ht="16" x14ac:dyDescent="0.2">
      <c r="A750" s="5"/>
    </row>
    <row r="751" spans="1:1" ht="16" x14ac:dyDescent="0.2">
      <c r="A751" s="5"/>
    </row>
    <row r="752" spans="1:1" ht="16" x14ac:dyDescent="0.2">
      <c r="A752" s="5"/>
    </row>
    <row r="753" spans="1:1" ht="16" x14ac:dyDescent="0.2">
      <c r="A753" s="5"/>
    </row>
    <row r="754" spans="1:1" ht="16" x14ac:dyDescent="0.2">
      <c r="A754" s="5"/>
    </row>
    <row r="755" spans="1:1" ht="16" x14ac:dyDescent="0.2">
      <c r="A755" s="5"/>
    </row>
    <row r="756" spans="1:1" ht="16" x14ac:dyDescent="0.2">
      <c r="A756" s="5"/>
    </row>
    <row r="757" spans="1:1" ht="16" x14ac:dyDescent="0.2">
      <c r="A757" s="5"/>
    </row>
    <row r="758" spans="1:1" ht="16" x14ac:dyDescent="0.2">
      <c r="A758" s="5"/>
    </row>
    <row r="759" spans="1:1" ht="16" x14ac:dyDescent="0.2">
      <c r="A759" s="5"/>
    </row>
    <row r="760" spans="1:1" ht="16" x14ac:dyDescent="0.2">
      <c r="A760" s="5"/>
    </row>
    <row r="761" spans="1:1" ht="16" x14ac:dyDescent="0.2">
      <c r="A761" s="5"/>
    </row>
    <row r="762" spans="1:1" ht="16" x14ac:dyDescent="0.2">
      <c r="A762" s="5"/>
    </row>
    <row r="763" spans="1:1" ht="16" x14ac:dyDescent="0.2">
      <c r="A763" s="5"/>
    </row>
    <row r="764" spans="1:1" ht="16" x14ac:dyDescent="0.2">
      <c r="A764" s="5"/>
    </row>
    <row r="765" spans="1:1" ht="16" x14ac:dyDescent="0.2">
      <c r="A765" s="5"/>
    </row>
    <row r="766" spans="1:1" ht="16" x14ac:dyDescent="0.2">
      <c r="A766" s="5"/>
    </row>
    <row r="767" spans="1:1" ht="16" x14ac:dyDescent="0.2">
      <c r="A767" s="5"/>
    </row>
    <row r="768" spans="1:1" ht="16" x14ac:dyDescent="0.2">
      <c r="A768" s="5"/>
    </row>
    <row r="769" spans="1:1" ht="16" x14ac:dyDescent="0.2">
      <c r="A769" s="5"/>
    </row>
    <row r="770" spans="1:1" ht="16" x14ac:dyDescent="0.2">
      <c r="A770" s="5"/>
    </row>
    <row r="771" spans="1:1" ht="16" x14ac:dyDescent="0.2">
      <c r="A771" s="5"/>
    </row>
    <row r="772" spans="1:1" ht="16" x14ac:dyDescent="0.2">
      <c r="A772" s="5"/>
    </row>
    <row r="773" spans="1:1" ht="16" x14ac:dyDescent="0.2">
      <c r="A773" s="5"/>
    </row>
    <row r="774" spans="1:1" ht="16" x14ac:dyDescent="0.2">
      <c r="A774" s="5"/>
    </row>
    <row r="775" spans="1:1" ht="16" x14ac:dyDescent="0.2">
      <c r="A775" s="5"/>
    </row>
    <row r="776" spans="1:1" ht="16" x14ac:dyDescent="0.2">
      <c r="A776" s="5"/>
    </row>
    <row r="777" spans="1:1" ht="16" x14ac:dyDescent="0.2">
      <c r="A777" s="5"/>
    </row>
    <row r="778" spans="1:1" ht="16" x14ac:dyDescent="0.2">
      <c r="A778" s="5"/>
    </row>
    <row r="779" spans="1:1" ht="16" x14ac:dyDescent="0.2">
      <c r="A779" s="5"/>
    </row>
    <row r="780" spans="1:1" ht="16" x14ac:dyDescent="0.2">
      <c r="A780" s="5"/>
    </row>
    <row r="781" spans="1:1" ht="16" x14ac:dyDescent="0.2">
      <c r="A781" s="5"/>
    </row>
    <row r="782" spans="1:1" ht="16" x14ac:dyDescent="0.2">
      <c r="A782" s="5"/>
    </row>
    <row r="783" spans="1:1" ht="16" x14ac:dyDescent="0.2">
      <c r="A783" s="5"/>
    </row>
    <row r="784" spans="1:1" ht="16" x14ac:dyDescent="0.2">
      <c r="A784" s="5"/>
    </row>
    <row r="785" spans="1:1" ht="16" x14ac:dyDescent="0.2">
      <c r="A785" s="5"/>
    </row>
    <row r="786" spans="1:1" ht="16" x14ac:dyDescent="0.2">
      <c r="A786" s="5"/>
    </row>
    <row r="787" spans="1:1" ht="16" x14ac:dyDescent="0.2">
      <c r="A787" s="5"/>
    </row>
    <row r="788" spans="1:1" ht="16" x14ac:dyDescent="0.2">
      <c r="A788" s="5"/>
    </row>
    <row r="789" spans="1:1" ht="16" x14ac:dyDescent="0.2">
      <c r="A789" s="5"/>
    </row>
    <row r="790" spans="1:1" ht="16" x14ac:dyDescent="0.2">
      <c r="A790" s="5"/>
    </row>
    <row r="791" spans="1:1" ht="16" x14ac:dyDescent="0.2">
      <c r="A791" s="5"/>
    </row>
    <row r="792" spans="1:1" ht="16" x14ac:dyDescent="0.2">
      <c r="A792" s="5"/>
    </row>
    <row r="793" spans="1:1" ht="16" x14ac:dyDescent="0.2">
      <c r="A793" s="5"/>
    </row>
    <row r="794" spans="1:1" ht="16" x14ac:dyDescent="0.2">
      <c r="A794" s="5"/>
    </row>
    <row r="795" spans="1:1" ht="16" x14ac:dyDescent="0.2">
      <c r="A795" s="5"/>
    </row>
    <row r="796" spans="1:1" ht="16" x14ac:dyDescent="0.2">
      <c r="A796" s="5"/>
    </row>
    <row r="797" spans="1:1" ht="16" x14ac:dyDescent="0.2">
      <c r="A797" s="5"/>
    </row>
    <row r="798" spans="1:1" ht="16" x14ac:dyDescent="0.2">
      <c r="A798" s="5"/>
    </row>
    <row r="799" spans="1:1" ht="16" x14ac:dyDescent="0.2">
      <c r="A799" s="5"/>
    </row>
    <row r="800" spans="1:1" ht="16" x14ac:dyDescent="0.2">
      <c r="A800" s="5"/>
    </row>
    <row r="801" spans="1:1" ht="16" x14ac:dyDescent="0.2">
      <c r="A801" s="5"/>
    </row>
    <row r="802" spans="1:1" ht="16" x14ac:dyDescent="0.2">
      <c r="A802" s="5"/>
    </row>
    <row r="803" spans="1:1" ht="16" x14ac:dyDescent="0.2">
      <c r="A803" s="5"/>
    </row>
    <row r="804" spans="1:1" ht="16" x14ac:dyDescent="0.2">
      <c r="A804" s="5"/>
    </row>
    <row r="805" spans="1:1" ht="16" x14ac:dyDescent="0.2">
      <c r="A805" s="5"/>
    </row>
    <row r="806" spans="1:1" ht="16" x14ac:dyDescent="0.2">
      <c r="A806" s="5"/>
    </row>
    <row r="807" spans="1:1" ht="16" x14ac:dyDescent="0.2">
      <c r="A807" s="5"/>
    </row>
    <row r="808" spans="1:1" ht="16" x14ac:dyDescent="0.2">
      <c r="A808" s="5"/>
    </row>
    <row r="809" spans="1:1" ht="16" x14ac:dyDescent="0.2">
      <c r="A809" s="5"/>
    </row>
    <row r="810" spans="1:1" ht="16" x14ac:dyDescent="0.2">
      <c r="A810" s="5"/>
    </row>
    <row r="811" spans="1:1" ht="16" x14ac:dyDescent="0.2">
      <c r="A811" s="5"/>
    </row>
    <row r="812" spans="1:1" ht="16" x14ac:dyDescent="0.2">
      <c r="A812" s="5"/>
    </row>
    <row r="813" spans="1:1" ht="16" x14ac:dyDescent="0.2">
      <c r="A813" s="5"/>
    </row>
    <row r="814" spans="1:1" ht="16" x14ac:dyDescent="0.2">
      <c r="A814" s="5"/>
    </row>
    <row r="815" spans="1:1" ht="16" x14ac:dyDescent="0.2">
      <c r="A815" s="5"/>
    </row>
    <row r="816" spans="1:1" ht="16" x14ac:dyDescent="0.2">
      <c r="A816" s="5"/>
    </row>
    <row r="817" spans="1:1" ht="16" x14ac:dyDescent="0.2">
      <c r="A817" s="5"/>
    </row>
    <row r="818" spans="1:1" ht="16" x14ac:dyDescent="0.2">
      <c r="A818" s="5"/>
    </row>
    <row r="819" spans="1:1" ht="16" x14ac:dyDescent="0.2">
      <c r="A819" s="5"/>
    </row>
    <row r="820" spans="1:1" ht="16" x14ac:dyDescent="0.2">
      <c r="A820" s="5"/>
    </row>
    <row r="821" spans="1:1" ht="16" x14ac:dyDescent="0.2">
      <c r="A821" s="5"/>
    </row>
    <row r="822" spans="1:1" ht="16" x14ac:dyDescent="0.2">
      <c r="A822" s="5"/>
    </row>
    <row r="823" spans="1:1" ht="16" x14ac:dyDescent="0.2">
      <c r="A823" s="5"/>
    </row>
    <row r="824" spans="1:1" ht="16" x14ac:dyDescent="0.2">
      <c r="A824" s="5"/>
    </row>
    <row r="825" spans="1:1" ht="16" x14ac:dyDescent="0.2">
      <c r="A825" s="5"/>
    </row>
    <row r="826" spans="1:1" ht="16" x14ac:dyDescent="0.2">
      <c r="A826" s="5"/>
    </row>
    <row r="827" spans="1:1" ht="16" x14ac:dyDescent="0.2">
      <c r="A827" s="5"/>
    </row>
    <row r="828" spans="1:1" ht="16" x14ac:dyDescent="0.2">
      <c r="A828" s="5"/>
    </row>
    <row r="829" spans="1:1" ht="16" x14ac:dyDescent="0.2">
      <c r="A829" s="5"/>
    </row>
    <row r="830" spans="1:1" ht="16" x14ac:dyDescent="0.2">
      <c r="A830" s="5"/>
    </row>
    <row r="831" spans="1:1" ht="16" x14ac:dyDescent="0.2">
      <c r="A831" s="5"/>
    </row>
    <row r="832" spans="1:1" ht="16" x14ac:dyDescent="0.2">
      <c r="A832" s="5"/>
    </row>
    <row r="833" spans="1:1" ht="16" x14ac:dyDescent="0.2">
      <c r="A833" s="5"/>
    </row>
    <row r="834" spans="1:1" ht="16" x14ac:dyDescent="0.2">
      <c r="A834" s="5"/>
    </row>
    <row r="835" spans="1:1" ht="16" x14ac:dyDescent="0.2">
      <c r="A835" s="5"/>
    </row>
    <row r="836" spans="1:1" ht="16" x14ac:dyDescent="0.2">
      <c r="A836" s="5"/>
    </row>
    <row r="837" spans="1:1" ht="16" x14ac:dyDescent="0.2">
      <c r="A837" s="5"/>
    </row>
    <row r="838" spans="1:1" ht="16" x14ac:dyDescent="0.2">
      <c r="A838" s="5"/>
    </row>
    <row r="839" spans="1:1" ht="16" x14ac:dyDescent="0.2">
      <c r="A839" s="5"/>
    </row>
    <row r="840" spans="1:1" ht="16" x14ac:dyDescent="0.2">
      <c r="A840" s="5"/>
    </row>
    <row r="841" spans="1:1" ht="16" x14ac:dyDescent="0.2">
      <c r="A841" s="5"/>
    </row>
    <row r="842" spans="1:1" ht="16" x14ac:dyDescent="0.2">
      <c r="A842" s="5"/>
    </row>
    <row r="843" spans="1:1" ht="16" x14ac:dyDescent="0.2">
      <c r="A843" s="5"/>
    </row>
    <row r="844" spans="1:1" ht="16" x14ac:dyDescent="0.2">
      <c r="A844" s="5"/>
    </row>
    <row r="845" spans="1:1" ht="16" x14ac:dyDescent="0.2">
      <c r="A845" s="5"/>
    </row>
    <row r="846" spans="1:1" ht="16" x14ac:dyDescent="0.2">
      <c r="A846" s="5"/>
    </row>
    <row r="847" spans="1:1" ht="16" x14ac:dyDescent="0.2">
      <c r="A847" s="5"/>
    </row>
    <row r="848" spans="1:1" ht="16" x14ac:dyDescent="0.2">
      <c r="A848" s="5"/>
    </row>
    <row r="849" spans="1:1" ht="16" x14ac:dyDescent="0.2">
      <c r="A849" s="5"/>
    </row>
    <row r="850" spans="1:1" ht="16" x14ac:dyDescent="0.2">
      <c r="A850" s="5"/>
    </row>
    <row r="851" spans="1:1" ht="16" x14ac:dyDescent="0.2">
      <c r="A851" s="5"/>
    </row>
    <row r="852" spans="1:1" ht="16" x14ac:dyDescent="0.2">
      <c r="A852" s="5"/>
    </row>
    <row r="853" spans="1:1" ht="16" x14ac:dyDescent="0.2">
      <c r="A853" s="5"/>
    </row>
    <row r="854" spans="1:1" ht="16" x14ac:dyDescent="0.2">
      <c r="A854" s="5"/>
    </row>
    <row r="855" spans="1:1" ht="16" x14ac:dyDescent="0.2">
      <c r="A855" s="5"/>
    </row>
    <row r="856" spans="1:1" ht="16" x14ac:dyDescent="0.2">
      <c r="A856" s="5"/>
    </row>
    <row r="857" spans="1:1" ht="16" x14ac:dyDescent="0.2">
      <c r="A857" s="5"/>
    </row>
    <row r="858" spans="1:1" ht="16" x14ac:dyDescent="0.2">
      <c r="A858" s="5"/>
    </row>
    <row r="859" spans="1:1" ht="16" x14ac:dyDescent="0.2">
      <c r="A859" s="5"/>
    </row>
    <row r="860" spans="1:1" ht="16" x14ac:dyDescent="0.2">
      <c r="A860" s="5"/>
    </row>
    <row r="861" spans="1:1" ht="16" x14ac:dyDescent="0.2">
      <c r="A861" s="5"/>
    </row>
    <row r="862" spans="1:1" ht="16" x14ac:dyDescent="0.2">
      <c r="A862" s="5"/>
    </row>
    <row r="863" spans="1:1" ht="16" x14ac:dyDescent="0.2">
      <c r="A863" s="5"/>
    </row>
    <row r="864" spans="1:1" ht="16" x14ac:dyDescent="0.2">
      <c r="A864" s="5"/>
    </row>
    <row r="865" spans="1:1" ht="16" x14ac:dyDescent="0.2">
      <c r="A865" s="5"/>
    </row>
    <row r="866" spans="1:1" ht="16" x14ac:dyDescent="0.2">
      <c r="A866" s="5"/>
    </row>
    <row r="867" spans="1:1" ht="16" x14ac:dyDescent="0.2">
      <c r="A867" s="5"/>
    </row>
    <row r="868" spans="1:1" ht="16" x14ac:dyDescent="0.2">
      <c r="A868" s="5"/>
    </row>
    <row r="869" spans="1:1" ht="16" x14ac:dyDescent="0.2">
      <c r="A869" s="5"/>
    </row>
    <row r="870" spans="1:1" ht="16" x14ac:dyDescent="0.2">
      <c r="A870" s="5"/>
    </row>
    <row r="871" spans="1:1" ht="16" x14ac:dyDescent="0.2">
      <c r="A871" s="5"/>
    </row>
    <row r="872" spans="1:1" ht="16" x14ac:dyDescent="0.2">
      <c r="A872" s="5"/>
    </row>
    <row r="873" spans="1:1" ht="16" x14ac:dyDescent="0.2">
      <c r="A873" s="5"/>
    </row>
    <row r="874" spans="1:1" ht="16" x14ac:dyDescent="0.2">
      <c r="A874" s="5"/>
    </row>
    <row r="875" spans="1:1" ht="16" x14ac:dyDescent="0.2">
      <c r="A875" s="5"/>
    </row>
    <row r="876" spans="1:1" ht="16" x14ac:dyDescent="0.2">
      <c r="A876" s="5"/>
    </row>
    <row r="877" spans="1:1" ht="16" x14ac:dyDescent="0.2">
      <c r="A877" s="5"/>
    </row>
    <row r="878" spans="1:1" ht="16" x14ac:dyDescent="0.2">
      <c r="A878" s="5"/>
    </row>
    <row r="879" spans="1:1" ht="16" x14ac:dyDescent="0.2">
      <c r="A879" s="5"/>
    </row>
    <row r="880" spans="1:1" ht="16" x14ac:dyDescent="0.2">
      <c r="A880" s="5"/>
    </row>
    <row r="881" spans="1:1" ht="16" x14ac:dyDescent="0.2">
      <c r="A881" s="5"/>
    </row>
    <row r="882" spans="1:1" ht="16" x14ac:dyDescent="0.2">
      <c r="A882" s="5"/>
    </row>
    <row r="883" spans="1:1" ht="16" x14ac:dyDescent="0.2">
      <c r="A883" s="5"/>
    </row>
    <row r="884" spans="1:1" ht="16" x14ac:dyDescent="0.2">
      <c r="A884" s="5"/>
    </row>
    <row r="885" spans="1:1" ht="16" x14ac:dyDescent="0.2">
      <c r="A885" s="5"/>
    </row>
    <row r="886" spans="1:1" ht="16" x14ac:dyDescent="0.2">
      <c r="A886" s="5"/>
    </row>
    <row r="887" spans="1:1" ht="16" x14ac:dyDescent="0.2">
      <c r="A887" s="5"/>
    </row>
    <row r="888" spans="1:1" ht="16" x14ac:dyDescent="0.2">
      <c r="A888" s="5"/>
    </row>
    <row r="889" spans="1:1" ht="16" x14ac:dyDescent="0.2">
      <c r="A889" s="5"/>
    </row>
    <row r="890" spans="1:1" ht="16" x14ac:dyDescent="0.2">
      <c r="A890" s="5"/>
    </row>
    <row r="891" spans="1:1" ht="16" x14ac:dyDescent="0.2">
      <c r="A891" s="5"/>
    </row>
    <row r="892" spans="1:1" ht="16" x14ac:dyDescent="0.2">
      <c r="A892" s="5"/>
    </row>
    <row r="893" spans="1:1" ht="16" x14ac:dyDescent="0.2">
      <c r="A893" s="5"/>
    </row>
    <row r="894" spans="1:1" ht="16" x14ac:dyDescent="0.2">
      <c r="A894" s="5"/>
    </row>
    <row r="895" spans="1:1" ht="16" x14ac:dyDescent="0.2">
      <c r="A895" s="5"/>
    </row>
    <row r="896" spans="1:1" ht="16" x14ac:dyDescent="0.2">
      <c r="A896" s="5"/>
    </row>
    <row r="897" spans="1:1" ht="16" x14ac:dyDescent="0.2">
      <c r="A897" s="5"/>
    </row>
    <row r="898" spans="1:1" ht="16" x14ac:dyDescent="0.2">
      <c r="A898" s="5"/>
    </row>
    <row r="899" spans="1:1" ht="16" x14ac:dyDescent="0.2">
      <c r="A899" s="5"/>
    </row>
    <row r="900" spans="1:1" ht="16" x14ac:dyDescent="0.2">
      <c r="A900" s="5"/>
    </row>
    <row r="901" spans="1:1" ht="16" x14ac:dyDescent="0.2">
      <c r="A901" s="5"/>
    </row>
    <row r="902" spans="1:1" ht="16" x14ac:dyDescent="0.2">
      <c r="A902" s="5"/>
    </row>
    <row r="903" spans="1:1" ht="16" x14ac:dyDescent="0.2">
      <c r="A903" s="5"/>
    </row>
    <row r="904" spans="1:1" ht="16" x14ac:dyDescent="0.2">
      <c r="A904" s="5"/>
    </row>
    <row r="905" spans="1:1" ht="16" x14ac:dyDescent="0.2">
      <c r="A905" s="5"/>
    </row>
    <row r="906" spans="1:1" ht="16" x14ac:dyDescent="0.2">
      <c r="A906" s="5"/>
    </row>
    <row r="907" spans="1:1" ht="16" x14ac:dyDescent="0.2">
      <c r="A907" s="5"/>
    </row>
    <row r="908" spans="1:1" ht="16" x14ac:dyDescent="0.2">
      <c r="A908" s="5"/>
    </row>
    <row r="909" spans="1:1" ht="16" x14ac:dyDescent="0.2">
      <c r="A909" s="5"/>
    </row>
    <row r="910" spans="1:1" ht="16" x14ac:dyDescent="0.2">
      <c r="A910" s="5"/>
    </row>
    <row r="911" spans="1:1" ht="16" x14ac:dyDescent="0.2">
      <c r="A911" s="5"/>
    </row>
    <row r="912" spans="1:1" ht="16" x14ac:dyDescent="0.2">
      <c r="A912" s="5"/>
    </row>
    <row r="913" spans="1:1" ht="16" x14ac:dyDescent="0.2">
      <c r="A913" s="5"/>
    </row>
    <row r="914" spans="1:1" ht="16" x14ac:dyDescent="0.2">
      <c r="A914" s="5"/>
    </row>
    <row r="915" spans="1:1" ht="16" x14ac:dyDescent="0.2">
      <c r="A915" s="5"/>
    </row>
    <row r="916" spans="1:1" ht="16" x14ac:dyDescent="0.2">
      <c r="A916" s="5"/>
    </row>
    <row r="917" spans="1:1" ht="16" x14ac:dyDescent="0.2">
      <c r="A917" s="5"/>
    </row>
    <row r="918" spans="1:1" ht="16" x14ac:dyDescent="0.2">
      <c r="A918" s="5"/>
    </row>
    <row r="919" spans="1:1" ht="16" x14ac:dyDescent="0.2">
      <c r="A919" s="5"/>
    </row>
    <row r="920" spans="1:1" ht="16" x14ac:dyDescent="0.2">
      <c r="A920" s="5"/>
    </row>
    <row r="921" spans="1:1" ht="16" x14ac:dyDescent="0.2">
      <c r="A921" s="5"/>
    </row>
    <row r="922" spans="1:1" ht="16" x14ac:dyDescent="0.2">
      <c r="A922" s="5"/>
    </row>
    <row r="923" spans="1:1" ht="16" x14ac:dyDescent="0.2">
      <c r="A923" s="5"/>
    </row>
    <row r="924" spans="1:1" ht="16" x14ac:dyDescent="0.2">
      <c r="A924" s="5"/>
    </row>
    <row r="925" spans="1:1" ht="16" x14ac:dyDescent="0.2">
      <c r="A925" s="5"/>
    </row>
    <row r="926" spans="1:1" ht="16" x14ac:dyDescent="0.2">
      <c r="A926" s="5"/>
    </row>
    <row r="927" spans="1:1" ht="16" x14ac:dyDescent="0.2">
      <c r="A927" s="5"/>
    </row>
    <row r="928" spans="1:1" ht="16" x14ac:dyDescent="0.2">
      <c r="A928" s="5"/>
    </row>
    <row r="929" spans="1:1" ht="16" x14ac:dyDescent="0.2">
      <c r="A929" s="5"/>
    </row>
    <row r="930" spans="1:1" ht="16" x14ac:dyDescent="0.2">
      <c r="A930" s="5"/>
    </row>
    <row r="931" spans="1:1" ht="16" x14ac:dyDescent="0.2">
      <c r="A931" s="5"/>
    </row>
    <row r="932" spans="1:1" ht="16" x14ac:dyDescent="0.2">
      <c r="A932" s="5"/>
    </row>
    <row r="933" spans="1:1" ht="16" x14ac:dyDescent="0.2">
      <c r="A933" s="5"/>
    </row>
    <row r="934" spans="1:1" ht="16" x14ac:dyDescent="0.2">
      <c r="A934" s="5"/>
    </row>
    <row r="935" spans="1:1" ht="16" x14ac:dyDescent="0.2">
      <c r="A935" s="5"/>
    </row>
    <row r="936" spans="1:1" ht="16" x14ac:dyDescent="0.2">
      <c r="A936" s="5"/>
    </row>
    <row r="937" spans="1:1" ht="16" x14ac:dyDescent="0.2">
      <c r="A937" s="5"/>
    </row>
    <row r="938" spans="1:1" ht="16" x14ac:dyDescent="0.2">
      <c r="A938" s="5"/>
    </row>
    <row r="939" spans="1:1" ht="16" x14ac:dyDescent="0.2">
      <c r="A939" s="5"/>
    </row>
    <row r="940" spans="1:1" ht="16" x14ac:dyDescent="0.2">
      <c r="A940" s="5"/>
    </row>
    <row r="941" spans="1:1" ht="16" x14ac:dyDescent="0.2">
      <c r="A941" s="5"/>
    </row>
    <row r="942" spans="1:1" ht="16" x14ac:dyDescent="0.2">
      <c r="A942" s="5"/>
    </row>
    <row r="943" spans="1:1" ht="16" x14ac:dyDescent="0.2">
      <c r="A943" s="5"/>
    </row>
    <row r="944" spans="1:1" ht="16" x14ac:dyDescent="0.2">
      <c r="A944" s="5"/>
    </row>
    <row r="945" spans="1:1" ht="16" x14ac:dyDescent="0.2">
      <c r="A945" s="5"/>
    </row>
    <row r="946" spans="1:1" ht="16" x14ac:dyDescent="0.2">
      <c r="A946" s="5"/>
    </row>
    <row r="947" spans="1:1" ht="16" x14ac:dyDescent="0.2">
      <c r="A947" s="5"/>
    </row>
    <row r="948" spans="1:1" ht="16" x14ac:dyDescent="0.2">
      <c r="A948" s="5"/>
    </row>
    <row r="949" spans="1:1" ht="16" x14ac:dyDescent="0.2">
      <c r="A949" s="5"/>
    </row>
    <row r="950" spans="1:1" ht="16" x14ac:dyDescent="0.2">
      <c r="A950" s="5"/>
    </row>
    <row r="951" spans="1:1" ht="16" x14ac:dyDescent="0.2">
      <c r="A951" s="5"/>
    </row>
    <row r="952" spans="1:1" ht="15" customHeight="1" x14ac:dyDescent="0.2">
      <c r="A952" s="5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4232-3419-C642-8C83-32271DCC5F08}">
  <dimension ref="A1:BC27"/>
  <sheetViews>
    <sheetView zoomScale="85" zoomScaleNormal="85" workbookViewId="0">
      <pane xSplit="1" topLeftCell="B1" activePane="topRight" state="frozen"/>
      <selection pane="topRight" activeCell="AT3" sqref="AT3:AT27"/>
    </sheetView>
  </sheetViews>
  <sheetFormatPr baseColWidth="10" defaultColWidth="11.1640625" defaultRowHeight="16" x14ac:dyDescent="0.2"/>
  <cols>
    <col min="2" max="2" width="16.33203125" bestFit="1" customWidth="1"/>
    <col min="3" max="3" width="15.5" customWidth="1"/>
    <col min="5" max="5" width="14.1640625" bestFit="1" customWidth="1"/>
    <col min="6" max="6" width="15.33203125" customWidth="1"/>
    <col min="8" max="8" width="15.1640625" bestFit="1" customWidth="1"/>
    <col min="9" max="9" width="14.1640625" bestFit="1" customWidth="1"/>
    <col min="11" max="12" width="14.1640625" bestFit="1" customWidth="1"/>
    <col min="14" max="15" width="16.33203125" bestFit="1" customWidth="1"/>
    <col min="17" max="18" width="14.1640625" bestFit="1" customWidth="1"/>
    <col min="20" max="21" width="14.1640625" bestFit="1" customWidth="1"/>
    <col min="23" max="24" width="16.33203125" bestFit="1" customWidth="1"/>
    <col min="26" max="27" width="18.33203125" bestFit="1" customWidth="1"/>
    <col min="29" max="30" width="14.1640625" bestFit="1" customWidth="1"/>
    <col min="32" max="33" width="16.33203125" bestFit="1" customWidth="1"/>
    <col min="35" max="36" width="15.1640625" bestFit="1" customWidth="1"/>
    <col min="38" max="38" width="16.33203125" bestFit="1" customWidth="1"/>
    <col min="39" max="39" width="15.1640625" bestFit="1" customWidth="1"/>
    <col min="41" max="42" width="14.1640625" bestFit="1" customWidth="1"/>
    <col min="44" max="45" width="17.33203125" bestFit="1" customWidth="1"/>
    <col min="47" max="47" width="15.1640625" bestFit="1" customWidth="1"/>
    <col min="48" max="48" width="14.1640625" bestFit="1" customWidth="1"/>
    <col min="50" max="51" width="14.1640625" bestFit="1" customWidth="1"/>
    <col min="53" max="54" width="15.1640625" bestFit="1" customWidth="1"/>
  </cols>
  <sheetData>
    <row r="1" spans="1:5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5</v>
      </c>
      <c r="Q1" s="1" t="s">
        <v>6</v>
      </c>
      <c r="R1" s="1" t="s">
        <v>6</v>
      </c>
      <c r="S1" s="1" t="s">
        <v>6</v>
      </c>
      <c r="T1" s="1" t="s">
        <v>7</v>
      </c>
      <c r="U1" s="1" t="s">
        <v>7</v>
      </c>
      <c r="V1" s="1" t="s">
        <v>7</v>
      </c>
      <c r="W1" s="1" t="s">
        <v>8</v>
      </c>
      <c r="X1" s="1" t="s">
        <v>8</v>
      </c>
      <c r="Y1" s="1" t="s">
        <v>8</v>
      </c>
      <c r="Z1" s="1" t="s">
        <v>9</v>
      </c>
      <c r="AA1" s="1" t="s">
        <v>9</v>
      </c>
      <c r="AB1" s="1" t="s">
        <v>9</v>
      </c>
      <c r="AC1" s="1" t="s">
        <v>10</v>
      </c>
      <c r="AD1" s="1" t="s">
        <v>10</v>
      </c>
      <c r="AE1" s="1" t="s">
        <v>10</v>
      </c>
      <c r="AF1" s="1" t="s">
        <v>11</v>
      </c>
      <c r="AG1" s="1" t="s">
        <v>11</v>
      </c>
      <c r="AH1" s="1" t="s">
        <v>11</v>
      </c>
      <c r="AI1" s="1" t="s">
        <v>12</v>
      </c>
      <c r="AJ1" s="1" t="s">
        <v>12</v>
      </c>
      <c r="AK1" s="1" t="s">
        <v>12</v>
      </c>
      <c r="AL1" s="1" t="s">
        <v>13</v>
      </c>
      <c r="AM1" s="1" t="s">
        <v>13</v>
      </c>
      <c r="AN1" s="1" t="s">
        <v>13</v>
      </c>
      <c r="AO1" s="1" t="s">
        <v>14</v>
      </c>
      <c r="AP1" s="1" t="s">
        <v>14</v>
      </c>
      <c r="AQ1" s="1" t="s">
        <v>14</v>
      </c>
      <c r="AR1" s="1" t="s">
        <v>15</v>
      </c>
      <c r="AS1" s="1" t="s">
        <v>15</v>
      </c>
      <c r="AT1" s="1" t="s">
        <v>15</v>
      </c>
      <c r="AU1" s="1" t="s">
        <v>16</v>
      </c>
      <c r="AV1" s="1" t="s">
        <v>16</v>
      </c>
      <c r="AW1" s="1" t="s">
        <v>16</v>
      </c>
      <c r="AX1" s="1" t="s">
        <v>17</v>
      </c>
      <c r="AY1" s="1" t="s">
        <v>17</v>
      </c>
      <c r="AZ1" s="1" t="s">
        <v>17</v>
      </c>
      <c r="BA1" s="1" t="s">
        <v>18</v>
      </c>
      <c r="BB1" s="1" t="s">
        <v>18</v>
      </c>
      <c r="BC1" s="1" t="s">
        <v>18</v>
      </c>
    </row>
    <row r="2" spans="1:55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20</v>
      </c>
      <c r="F2" s="1" t="s">
        <v>21</v>
      </c>
      <c r="G2" s="1" t="s">
        <v>22</v>
      </c>
      <c r="H2" s="1" t="s">
        <v>20</v>
      </c>
      <c r="I2" s="1" t="s">
        <v>21</v>
      </c>
      <c r="J2" s="1" t="s">
        <v>22</v>
      </c>
      <c r="K2" s="1" t="s">
        <v>20</v>
      </c>
      <c r="L2" s="1" t="s">
        <v>21</v>
      </c>
      <c r="M2" s="1" t="s">
        <v>22</v>
      </c>
      <c r="N2" s="1" t="s">
        <v>20</v>
      </c>
      <c r="O2" s="1" t="s">
        <v>21</v>
      </c>
      <c r="P2" s="1" t="s">
        <v>22</v>
      </c>
      <c r="Q2" s="1" t="s">
        <v>20</v>
      </c>
      <c r="R2" s="1" t="s">
        <v>21</v>
      </c>
      <c r="S2" s="1" t="s">
        <v>22</v>
      </c>
      <c r="T2" s="1" t="s">
        <v>20</v>
      </c>
      <c r="U2" s="1" t="s">
        <v>21</v>
      </c>
      <c r="V2" s="1" t="s">
        <v>22</v>
      </c>
      <c r="W2" s="1" t="s">
        <v>20</v>
      </c>
      <c r="X2" s="1" t="s">
        <v>21</v>
      </c>
      <c r="Y2" s="1" t="s">
        <v>22</v>
      </c>
      <c r="Z2" s="1" t="s">
        <v>20</v>
      </c>
      <c r="AA2" s="1" t="s">
        <v>21</v>
      </c>
      <c r="AB2" s="1" t="s">
        <v>22</v>
      </c>
      <c r="AC2" s="1" t="s">
        <v>20</v>
      </c>
      <c r="AD2" s="1" t="s">
        <v>21</v>
      </c>
      <c r="AE2" s="1" t="s">
        <v>22</v>
      </c>
      <c r="AF2" s="1" t="s">
        <v>20</v>
      </c>
      <c r="AG2" s="1" t="s">
        <v>21</v>
      </c>
      <c r="AH2" s="1" t="s">
        <v>22</v>
      </c>
      <c r="AI2" s="1" t="s">
        <v>20</v>
      </c>
      <c r="AJ2" s="1" t="s">
        <v>21</v>
      </c>
      <c r="AK2" s="1" t="s">
        <v>22</v>
      </c>
      <c r="AL2" s="1" t="s">
        <v>20</v>
      </c>
      <c r="AM2" s="1" t="s">
        <v>21</v>
      </c>
      <c r="AN2" s="1" t="s">
        <v>22</v>
      </c>
      <c r="AO2" s="1" t="s">
        <v>20</v>
      </c>
      <c r="AP2" s="1" t="s">
        <v>21</v>
      </c>
      <c r="AQ2" s="1" t="s">
        <v>22</v>
      </c>
      <c r="AR2" s="1" t="s">
        <v>20</v>
      </c>
      <c r="AS2" s="1" t="s">
        <v>21</v>
      </c>
      <c r="AT2" s="1" t="s">
        <v>22</v>
      </c>
      <c r="AU2" s="1" t="s">
        <v>20</v>
      </c>
      <c r="AV2" s="1" t="s">
        <v>21</v>
      </c>
      <c r="AW2" s="1" t="s">
        <v>22</v>
      </c>
      <c r="AX2" s="1" t="s">
        <v>20</v>
      </c>
      <c r="AY2" s="1" t="s">
        <v>21</v>
      </c>
      <c r="AZ2" s="1" t="s">
        <v>22</v>
      </c>
      <c r="BA2" s="1" t="s">
        <v>20</v>
      </c>
      <c r="BB2" s="1" t="s">
        <v>21</v>
      </c>
      <c r="BC2" s="1" t="s">
        <v>22</v>
      </c>
    </row>
    <row r="3" spans="1:55" x14ac:dyDescent="0.2">
      <c r="A3" s="1">
        <v>1999</v>
      </c>
      <c r="B3" s="2">
        <v>283523000000</v>
      </c>
      <c r="C3" s="2">
        <v>483773071300</v>
      </c>
      <c r="D3">
        <v>91371792.018980011</v>
      </c>
      <c r="E3" s="2">
        <v>621807000000</v>
      </c>
      <c r="F3" s="2">
        <v>1235185000000</v>
      </c>
      <c r="G3" s="2">
        <v>403100</v>
      </c>
      <c r="H3" s="2">
        <v>1087710456100</v>
      </c>
      <c r="I3" s="2">
        <v>2593107378800</v>
      </c>
      <c r="J3" s="2">
        <v>416766.60833333334</v>
      </c>
      <c r="K3" s="2">
        <v>1007917000000</v>
      </c>
      <c r="L3" s="2">
        <v>1414784443000</v>
      </c>
      <c r="M3" s="2">
        <v>614942.33333333337</v>
      </c>
      <c r="N3" s="2">
        <v>9056437577700</v>
      </c>
      <c r="O3" s="2">
        <v>17705941500500</v>
      </c>
      <c r="P3" s="2">
        <v>11196032.5</v>
      </c>
      <c r="Q3" s="2">
        <v>1400999000000</v>
      </c>
      <c r="R3" s="2">
        <v>1774862991000</v>
      </c>
      <c r="S3" s="2">
        <v>4544253.083333333</v>
      </c>
      <c r="T3" s="2">
        <v>2059480000000</v>
      </c>
      <c r="U3" s="2">
        <v>2483283310000</v>
      </c>
      <c r="V3" s="2">
        <v>4544253.083333333</v>
      </c>
      <c r="W3" s="2">
        <v>19882615729000</v>
      </c>
      <c r="X3" s="2">
        <v>41666935662000</v>
      </c>
      <c r="Y3" s="2">
        <v>10177500</v>
      </c>
      <c r="Z3" s="2">
        <v>1099731600000000</v>
      </c>
      <c r="AA3" s="2">
        <v>3928444129400000</v>
      </c>
      <c r="AB3" s="2">
        <v>624151333.33333337</v>
      </c>
      <c r="AC3" s="2">
        <v>1175149500000</v>
      </c>
      <c r="AD3" s="2">
        <v>1599723200000</v>
      </c>
      <c r="AE3" s="2">
        <v>4544253.083333333</v>
      </c>
      <c r="AF3" s="2">
        <v>528069900000000</v>
      </c>
      <c r="AG3" s="2">
        <v>469590420459000</v>
      </c>
      <c r="AH3" s="2">
        <v>949659308.33333337</v>
      </c>
      <c r="AI3" s="2">
        <v>6034995116000</v>
      </c>
      <c r="AJ3" s="2">
        <v>16958941075000</v>
      </c>
      <c r="AK3" s="2">
        <v>1365240.75</v>
      </c>
      <c r="AL3" s="2">
        <v>4823233500000</v>
      </c>
      <c r="AM3" s="2">
        <v>44463967080000</v>
      </c>
      <c r="AN3" s="3">
        <v>765.10833333333346</v>
      </c>
      <c r="AO3" s="2">
        <v>925690425000</v>
      </c>
      <c r="AP3" s="2">
        <v>2712790594800</v>
      </c>
      <c r="AQ3" s="2">
        <v>451951.6416666666</v>
      </c>
      <c r="AR3" s="2">
        <v>591453000000000</v>
      </c>
      <c r="AS3" s="2">
        <v>828483400000000</v>
      </c>
      <c r="AT3" s="2">
        <v>836722900</v>
      </c>
      <c r="AU3" s="2">
        <v>107374257900</v>
      </c>
      <c r="AV3" s="2">
        <v>687564129200</v>
      </c>
      <c r="AW3" s="2">
        <v>32346.718333333338</v>
      </c>
      <c r="AX3" s="2">
        <v>1043248000000</v>
      </c>
      <c r="AY3" s="2">
        <v>1438113735000</v>
      </c>
      <c r="AZ3" s="2">
        <v>837937</v>
      </c>
      <c r="BA3" s="2">
        <v>9631172000000</v>
      </c>
      <c r="BB3" s="2">
        <v>13180243872000</v>
      </c>
      <c r="BC3" s="2">
        <v>4518000</v>
      </c>
    </row>
    <row r="4" spans="1:55" x14ac:dyDescent="0.2">
      <c r="A4" s="1">
        <v>2000</v>
      </c>
      <c r="B4" s="2">
        <v>284203750000</v>
      </c>
      <c r="C4" s="2">
        <v>479956106900</v>
      </c>
      <c r="D4">
        <v>94736894.196839169</v>
      </c>
      <c r="E4" s="2">
        <v>662674000000</v>
      </c>
      <c r="F4" s="2">
        <v>1283623000000</v>
      </c>
      <c r="G4" s="2">
        <v>431641.66666666669</v>
      </c>
      <c r="H4" s="2">
        <v>1199092070900</v>
      </c>
      <c r="I4" s="2">
        <v>2706891619700</v>
      </c>
      <c r="J4">
        <v>516056.05</v>
      </c>
      <c r="K4" s="2">
        <v>1106063000000</v>
      </c>
      <c r="L4" s="2">
        <v>1487483696000</v>
      </c>
      <c r="M4" s="2">
        <v>661828.33333333337</v>
      </c>
      <c r="N4" s="2">
        <v>10028013925300</v>
      </c>
      <c r="O4" s="2">
        <v>19209192472300</v>
      </c>
      <c r="P4" s="2">
        <v>12665882.5</v>
      </c>
      <c r="Q4" s="2">
        <v>1478585000000</v>
      </c>
      <c r="R4" s="2">
        <v>1844502744000</v>
      </c>
      <c r="S4" s="2">
        <v>4801939.583333333</v>
      </c>
      <c r="T4" s="2">
        <v>2109090000000</v>
      </c>
      <c r="U4" s="2">
        <v>2555609010000</v>
      </c>
      <c r="V4" s="2">
        <v>4801939.583333333</v>
      </c>
      <c r="W4" s="2">
        <v>21398856906000</v>
      </c>
      <c r="X4" s="2">
        <v>43267358976000</v>
      </c>
      <c r="Y4" s="2">
        <v>11780833.333333334</v>
      </c>
      <c r="Z4" s="2">
        <v>1389769900000000</v>
      </c>
      <c r="AA4" s="2">
        <v>4121726242000000</v>
      </c>
      <c r="AB4" s="2">
        <v>685881083.33333337</v>
      </c>
      <c r="AC4" s="2">
        <v>1241512900000</v>
      </c>
      <c r="AD4" s="2">
        <v>1660304000000</v>
      </c>
      <c r="AE4" s="2">
        <v>4801939.583333333</v>
      </c>
      <c r="AF4" s="2">
        <v>535417700000000</v>
      </c>
      <c r="AG4" s="2">
        <v>482572940520000</v>
      </c>
      <c r="AH4">
        <v>968125500</v>
      </c>
      <c r="AI4" s="2">
        <v>7016603942000</v>
      </c>
      <c r="AJ4" s="2">
        <v>17811854384000</v>
      </c>
      <c r="AK4" s="2">
        <v>1655152.5833333333</v>
      </c>
      <c r="AL4" s="2">
        <v>7305646300000</v>
      </c>
      <c r="AM4" s="2">
        <v>48910393496000</v>
      </c>
      <c r="AN4" s="3">
        <v>1224.3916666666667</v>
      </c>
      <c r="AO4" s="2">
        <v>1053138033600</v>
      </c>
      <c r="AP4" s="2">
        <v>2826727799800</v>
      </c>
      <c r="AQ4" s="2">
        <v>490133.30833333335</v>
      </c>
      <c r="AR4" s="2">
        <v>651634400000000</v>
      </c>
      <c r="AS4" s="2">
        <v>903550900000000</v>
      </c>
      <c r="AT4" s="2">
        <v>884971250</v>
      </c>
      <c r="AU4" s="2">
        <v>171494210000</v>
      </c>
      <c r="AV4" s="2">
        <v>735234598400</v>
      </c>
      <c r="AW4" s="2">
        <v>54957.216666666667</v>
      </c>
      <c r="AX4" s="2">
        <v>1100752000000</v>
      </c>
      <c r="AY4" s="2">
        <v>1500221942000</v>
      </c>
      <c r="AZ4" s="2">
        <v>905747.75</v>
      </c>
      <c r="BA4" s="2">
        <v>10250952000000</v>
      </c>
      <c r="BB4" s="2">
        <v>13717679619000</v>
      </c>
      <c r="BC4" s="2">
        <v>4792425</v>
      </c>
    </row>
    <row r="5" spans="1:55" x14ac:dyDescent="0.2">
      <c r="A5" s="1">
        <v>2001</v>
      </c>
      <c r="B5" s="2">
        <v>268696750000</v>
      </c>
      <c r="C5" s="2">
        <v>458795611600</v>
      </c>
      <c r="D5">
        <v>86839065.865189999</v>
      </c>
      <c r="E5" s="2">
        <v>707402000000</v>
      </c>
      <c r="F5" s="2">
        <v>1309618000000</v>
      </c>
      <c r="G5" s="2">
        <v>469816.66666666669</v>
      </c>
      <c r="H5" s="2">
        <v>1315755467800</v>
      </c>
      <c r="I5" s="2">
        <v>2744514608900</v>
      </c>
      <c r="J5">
        <v>593647.7666666666</v>
      </c>
      <c r="K5" s="2">
        <v>1144535000000</v>
      </c>
      <c r="L5" s="2">
        <v>1515375475000</v>
      </c>
      <c r="M5" s="2">
        <v>698379.33333333337</v>
      </c>
      <c r="N5" s="2">
        <v>11086312304600</v>
      </c>
      <c r="O5" s="2">
        <v>20810419560100</v>
      </c>
      <c r="P5" s="2">
        <v>14616452.5</v>
      </c>
      <c r="Q5" s="2">
        <v>1538200000000</v>
      </c>
      <c r="R5" s="2">
        <v>1881092540000</v>
      </c>
      <c r="S5" s="2">
        <v>5205663</v>
      </c>
      <c r="T5" s="2">
        <v>2172540000000</v>
      </c>
      <c r="U5" s="2">
        <v>2598580770000</v>
      </c>
      <c r="V5" s="2">
        <v>5205663</v>
      </c>
      <c r="W5" s="2">
        <v>23152429571000</v>
      </c>
      <c r="X5" s="2">
        <v>45354561777000</v>
      </c>
      <c r="Y5" s="2">
        <v>13740000</v>
      </c>
      <c r="Z5" s="2">
        <v>1646322000000000</v>
      </c>
      <c r="AA5" s="2">
        <v>4271899954700000</v>
      </c>
      <c r="AB5" s="2">
        <v>786747333.33333337</v>
      </c>
      <c r="AC5" s="2">
        <v>1304136800000</v>
      </c>
      <c r="AD5" s="2">
        <v>1692702700000</v>
      </c>
      <c r="AE5" s="2">
        <v>5205663</v>
      </c>
      <c r="AF5" s="2">
        <v>531653900000000</v>
      </c>
      <c r="AG5" s="2">
        <v>484436171177000</v>
      </c>
      <c r="AH5">
        <v>983625000</v>
      </c>
      <c r="AI5" s="2">
        <v>7437107660000</v>
      </c>
      <c r="AJ5" s="2">
        <v>17731550484000</v>
      </c>
      <c r="AK5" s="2">
        <v>2121632.8333333335</v>
      </c>
      <c r="AL5" s="2">
        <v>8943582400000</v>
      </c>
      <c r="AM5" s="2">
        <v>51404848619000</v>
      </c>
      <c r="AN5" s="3">
        <v>1779.7666666666667</v>
      </c>
      <c r="AO5" s="2">
        <v>1165940572900</v>
      </c>
      <c r="AP5" s="2">
        <v>2903049450400</v>
      </c>
      <c r="AQ5" s="2">
        <v>561212.58333333337</v>
      </c>
      <c r="AR5" s="2">
        <v>707021300000000</v>
      </c>
      <c r="AS5" s="2">
        <v>947394800000000</v>
      </c>
      <c r="AT5" s="2">
        <v>968941300</v>
      </c>
      <c r="AU5" s="2">
        <v>247266207500</v>
      </c>
      <c r="AV5" s="2">
        <v>692958560800</v>
      </c>
      <c r="AW5" s="2">
        <v>95906.500833333339</v>
      </c>
      <c r="AX5" s="2">
        <v>1146135000000</v>
      </c>
      <c r="AY5" s="2">
        <v>1538908781000</v>
      </c>
      <c r="AZ5" s="2">
        <v>998448.83333333337</v>
      </c>
      <c r="BA5" s="2">
        <v>10581929000000</v>
      </c>
      <c r="BB5" s="2">
        <v>13848757308000</v>
      </c>
      <c r="BC5" s="2">
        <v>5209791.666666667</v>
      </c>
    </row>
    <row r="6" spans="1:55" x14ac:dyDescent="0.2">
      <c r="A6" s="1">
        <v>2002</v>
      </c>
      <c r="B6" s="2">
        <v>312580000000</v>
      </c>
      <c r="C6" s="2">
        <v>408812193300</v>
      </c>
      <c r="D6">
        <v>79521069.666666672</v>
      </c>
      <c r="E6" s="2">
        <v>756446000000</v>
      </c>
      <c r="F6" s="2">
        <v>1361736000000</v>
      </c>
      <c r="G6" s="2">
        <v>511116.66666666669</v>
      </c>
      <c r="H6" s="2">
        <v>1488787255200</v>
      </c>
      <c r="I6" s="2">
        <v>2828317315700</v>
      </c>
      <c r="J6">
        <v>652046.31666666653</v>
      </c>
      <c r="K6" s="2">
        <v>1193687000000</v>
      </c>
      <c r="L6" s="2">
        <v>1560825455000</v>
      </c>
      <c r="M6" s="2">
        <v>739895.08333333337</v>
      </c>
      <c r="N6" s="2">
        <v>12171742474800</v>
      </c>
      <c r="O6" s="2">
        <v>22711166448500</v>
      </c>
      <c r="P6" s="2">
        <v>17066325</v>
      </c>
      <c r="Q6" s="2">
        <v>1587829000000</v>
      </c>
      <c r="R6" s="2">
        <v>1902452938000</v>
      </c>
      <c r="S6" s="2">
        <v>5572731.25</v>
      </c>
      <c r="T6" s="2">
        <v>2198120000000</v>
      </c>
      <c r="U6" s="2">
        <v>2593436260000</v>
      </c>
      <c r="V6" s="2">
        <v>5572731.25</v>
      </c>
      <c r="W6" s="2">
        <v>24926137847000</v>
      </c>
      <c r="X6" s="2">
        <v>47079838114000</v>
      </c>
      <c r="Y6" s="2">
        <v>15905000</v>
      </c>
      <c r="Z6" s="2">
        <v>1821833400000000</v>
      </c>
      <c r="AA6" s="2">
        <v>4464113041800000</v>
      </c>
      <c r="AB6" s="2">
        <v>849401083.33333337</v>
      </c>
      <c r="AC6" s="2">
        <v>1350258900000</v>
      </c>
      <c r="AD6" s="2">
        <v>1697001200000</v>
      </c>
      <c r="AE6" s="2">
        <v>5572731.25</v>
      </c>
      <c r="AF6" s="2">
        <v>524478700000000</v>
      </c>
      <c r="AG6" s="2">
        <v>484639452702000</v>
      </c>
      <c r="AH6">
        <v>1002553666.6666666</v>
      </c>
      <c r="AI6" s="2">
        <v>7827757973000</v>
      </c>
      <c r="AJ6" s="2">
        <v>17689599763000</v>
      </c>
      <c r="AK6" s="2">
        <v>2310857.4166666665</v>
      </c>
      <c r="AL6" s="2">
        <v>10830500000000</v>
      </c>
      <c r="AM6" s="2">
        <v>53820872345000</v>
      </c>
      <c r="AN6" s="3">
        <v>2332.5583333333338</v>
      </c>
      <c r="AO6" s="2">
        <v>1360679275100</v>
      </c>
      <c r="AP6" s="2">
        <v>3010473149200</v>
      </c>
      <c r="AQ6" s="2">
        <v>672321.17500000005</v>
      </c>
      <c r="AR6" s="2">
        <v>784741300000000</v>
      </c>
      <c r="AS6" s="2">
        <v>1020582400000000</v>
      </c>
      <c r="AT6" s="2">
        <v>1097852583.3333333</v>
      </c>
      <c r="AU6" s="2">
        <v>362109647600</v>
      </c>
      <c r="AV6" s="2">
        <v>737638602700</v>
      </c>
      <c r="AW6" s="2">
        <v>130782.75833333335</v>
      </c>
      <c r="AX6" s="2">
        <v>1191439000000</v>
      </c>
      <c r="AY6" s="2">
        <v>1566485805000</v>
      </c>
      <c r="AZ6" s="2">
        <v>1049276.5833333333</v>
      </c>
      <c r="BA6" s="2">
        <v>10929108000000</v>
      </c>
      <c r="BB6" s="2">
        <v>14084248131000</v>
      </c>
      <c r="BC6" s="2">
        <v>5599125</v>
      </c>
    </row>
    <row r="7" spans="1:55" x14ac:dyDescent="0.2">
      <c r="A7" s="1">
        <v>2003</v>
      </c>
      <c r="B7" s="2">
        <v>375909500000</v>
      </c>
      <c r="C7" s="2">
        <v>444939093600</v>
      </c>
      <c r="D7">
        <v>100770737.16666667</v>
      </c>
      <c r="E7" s="2">
        <v>803108000000</v>
      </c>
      <c r="F7" s="2">
        <v>1403823000000</v>
      </c>
      <c r="G7" s="2">
        <v>564791.66666666663</v>
      </c>
      <c r="H7" s="2">
        <v>1717950396400</v>
      </c>
      <c r="I7" s="2">
        <v>2860583579800</v>
      </c>
      <c r="J7">
        <v>751922.13333333319</v>
      </c>
      <c r="K7" s="2">
        <v>1254742000000</v>
      </c>
      <c r="L7" s="2">
        <v>1589019974000</v>
      </c>
      <c r="M7" s="2">
        <v>784077.08333333337</v>
      </c>
      <c r="N7" s="2">
        <v>13742203491800</v>
      </c>
      <c r="O7" s="2">
        <v>24990920259200</v>
      </c>
      <c r="P7" s="2">
        <v>20483522.5</v>
      </c>
      <c r="Q7" s="2">
        <v>1630666000000</v>
      </c>
      <c r="R7" s="2">
        <v>1918113184000</v>
      </c>
      <c r="S7" s="2">
        <v>6000949.166666667</v>
      </c>
      <c r="T7" s="2">
        <v>2211570000000</v>
      </c>
      <c r="U7" s="2">
        <v>2575279180000</v>
      </c>
      <c r="V7" s="2">
        <v>6000949.166666667</v>
      </c>
      <c r="W7" s="2">
        <v>27925301414000</v>
      </c>
      <c r="X7" s="2">
        <v>50780492988000</v>
      </c>
      <c r="Y7" s="2">
        <v>17975833.333333332</v>
      </c>
      <c r="Z7" s="2">
        <v>2013674600000000</v>
      </c>
      <c r="AA7" s="2">
        <v>4677514123300000</v>
      </c>
      <c r="AB7" s="2">
        <v>903958250</v>
      </c>
      <c r="AC7" s="2">
        <v>1394693200000</v>
      </c>
      <c r="AD7" s="2">
        <v>1699353700000</v>
      </c>
      <c r="AE7" s="2">
        <v>6000949.166666667</v>
      </c>
      <c r="AF7" s="2">
        <v>523968600000000</v>
      </c>
      <c r="AG7" s="2">
        <v>492079276520000</v>
      </c>
      <c r="AH7">
        <v>1012401916.6666666</v>
      </c>
      <c r="AI7" s="2">
        <v>8259533147000</v>
      </c>
      <c r="AJ7" s="2">
        <v>17899317905000</v>
      </c>
      <c r="AK7" s="2">
        <v>2465505</v>
      </c>
      <c r="AL7" s="2">
        <v>13208233779000</v>
      </c>
      <c r="AM7" s="2">
        <v>57749770378000</v>
      </c>
      <c r="AN7" s="4">
        <v>3234.4249999999997</v>
      </c>
      <c r="AO7" s="2">
        <v>1490399020800</v>
      </c>
      <c r="AP7" s="2">
        <v>3099254274300</v>
      </c>
      <c r="AQ7" s="2">
        <v>766221.15</v>
      </c>
      <c r="AR7" s="2">
        <v>837365000000000</v>
      </c>
      <c r="AS7" s="2">
        <v>1052703100000000</v>
      </c>
      <c r="AT7" s="2">
        <v>1187228333.3333333</v>
      </c>
      <c r="AU7" s="2">
        <v>472171775300</v>
      </c>
      <c r="AV7" s="2">
        <v>780150235400</v>
      </c>
      <c r="AW7" s="2">
        <v>154374.40833333333</v>
      </c>
      <c r="AX7" s="2">
        <v>1258334000000</v>
      </c>
      <c r="AY7" s="2">
        <v>1615776417000</v>
      </c>
      <c r="AZ7" s="2">
        <v>1112482.6666666667</v>
      </c>
      <c r="BA7" s="2">
        <v>11456450000000</v>
      </c>
      <c r="BB7" s="2">
        <v>14477988212000</v>
      </c>
      <c r="BC7" s="2">
        <v>5988583.333333333</v>
      </c>
    </row>
    <row r="8" spans="1:55" x14ac:dyDescent="0.2">
      <c r="A8" s="1">
        <v>2004</v>
      </c>
      <c r="B8" s="2">
        <v>485115194700</v>
      </c>
      <c r="C8" s="2">
        <v>485115195200</v>
      </c>
      <c r="D8">
        <v>132674801.08333333</v>
      </c>
      <c r="E8" s="2">
        <v>864089000000</v>
      </c>
      <c r="F8" s="2">
        <v>1463125000000</v>
      </c>
      <c r="G8" s="2">
        <v>623675</v>
      </c>
      <c r="H8" s="2">
        <v>1957751213000</v>
      </c>
      <c r="I8" s="2">
        <v>3025352182400</v>
      </c>
      <c r="J8">
        <v>918824.71666666667</v>
      </c>
      <c r="K8" s="2">
        <v>1335724000000</v>
      </c>
      <c r="L8" s="2">
        <v>1638158253000</v>
      </c>
      <c r="M8" s="2">
        <v>855036.91666666663</v>
      </c>
      <c r="N8" s="2">
        <v>16184016090700</v>
      </c>
      <c r="O8" s="2">
        <v>27518407313000</v>
      </c>
      <c r="P8" s="2">
        <v>23803347.5</v>
      </c>
      <c r="Q8" s="2">
        <v>1704019000000</v>
      </c>
      <c r="R8" s="2">
        <v>1972391048000</v>
      </c>
      <c r="S8" s="2">
        <v>6339491.666666667</v>
      </c>
      <c r="T8" s="2">
        <v>2262520000000</v>
      </c>
      <c r="U8" s="2">
        <v>2605540980000</v>
      </c>
      <c r="V8" s="2">
        <v>6339491.666666667</v>
      </c>
      <c r="W8" s="2">
        <v>31863319237500</v>
      </c>
      <c r="X8" s="2">
        <v>54803799258700</v>
      </c>
      <c r="Y8" s="2">
        <v>20565833.333333332</v>
      </c>
      <c r="Z8" s="2">
        <v>2295826200000000</v>
      </c>
      <c r="AA8" s="2">
        <v>4912833962600000</v>
      </c>
      <c r="AB8" s="2">
        <v>968824666.66666663</v>
      </c>
      <c r="AC8" s="2">
        <v>1452319000000</v>
      </c>
      <c r="AD8" s="2">
        <v>1723545600000</v>
      </c>
      <c r="AE8" s="2">
        <v>6339491.666666667</v>
      </c>
      <c r="AF8" s="2">
        <v>529400900000000</v>
      </c>
      <c r="AG8" s="2">
        <v>502836698813000</v>
      </c>
      <c r="AH8">
        <v>1023448666.6666666</v>
      </c>
      <c r="AI8" s="2">
        <v>9248389798000</v>
      </c>
      <c r="AJ8" s="2">
        <v>18537507526000</v>
      </c>
      <c r="AK8" s="2">
        <v>2647145.8333333335</v>
      </c>
      <c r="AL8" s="2">
        <v>17027190860000</v>
      </c>
      <c r="AM8" s="2">
        <v>61907723740000</v>
      </c>
      <c r="AN8" s="3">
        <v>4389.0083333333341</v>
      </c>
      <c r="AO8" s="2">
        <v>1652434096800</v>
      </c>
      <c r="AP8" s="2">
        <v>3240411666900</v>
      </c>
      <c r="AQ8" s="2">
        <v>868040.56666666653</v>
      </c>
      <c r="AR8" s="2">
        <v>908439200000000</v>
      </c>
      <c r="AS8" s="2">
        <v>1107416200000000</v>
      </c>
      <c r="AT8" s="2">
        <v>1259799500</v>
      </c>
      <c r="AU8" s="2">
        <v>582852798800</v>
      </c>
      <c r="AV8" s="2">
        <v>856573256200</v>
      </c>
      <c r="AW8" s="2">
        <v>190634.9916666667</v>
      </c>
      <c r="AX8" s="2">
        <v>1322637000000</v>
      </c>
      <c r="AY8" s="2">
        <v>1654983176000</v>
      </c>
      <c r="AZ8" s="2">
        <v>1227403.5</v>
      </c>
      <c r="BA8" s="2">
        <v>12217196000000</v>
      </c>
      <c r="BB8" s="2">
        <v>15035068144000</v>
      </c>
      <c r="BC8" s="2">
        <v>6273650</v>
      </c>
    </row>
    <row r="9" spans="1:55" x14ac:dyDescent="0.2">
      <c r="A9" s="1">
        <v>2005</v>
      </c>
      <c r="B9" s="2">
        <v>582538172900</v>
      </c>
      <c r="C9" s="2">
        <v>528055942500</v>
      </c>
      <c r="D9">
        <v>160535606.08333334</v>
      </c>
      <c r="E9" s="2">
        <v>925442000000</v>
      </c>
      <c r="F9" s="2">
        <v>1509274000000</v>
      </c>
      <c r="G9" s="2">
        <v>675666.66666666663</v>
      </c>
      <c r="H9" s="2">
        <v>2170584503400</v>
      </c>
      <c r="I9" s="2">
        <v>3122227954600</v>
      </c>
      <c r="J9">
        <v>1070264.925</v>
      </c>
      <c r="K9" s="2">
        <v>1421573000000</v>
      </c>
      <c r="L9" s="2">
        <v>1690750576000</v>
      </c>
      <c r="M9" s="2">
        <v>939107.25</v>
      </c>
      <c r="N9" s="2">
        <v>18731890311800</v>
      </c>
      <c r="O9" s="2">
        <v>30654017498900</v>
      </c>
      <c r="P9" s="2">
        <v>27650412.5</v>
      </c>
      <c r="Q9" s="2">
        <v>1765905000000</v>
      </c>
      <c r="R9" s="2">
        <v>2005196250000</v>
      </c>
      <c r="S9" s="2">
        <v>6824574</v>
      </c>
      <c r="T9" s="2">
        <v>2288310000000</v>
      </c>
      <c r="U9" s="2">
        <v>2624605910000</v>
      </c>
      <c r="V9" s="2">
        <v>6824574</v>
      </c>
      <c r="W9" s="2">
        <v>36321246607300</v>
      </c>
      <c r="X9" s="2">
        <v>59146140270900</v>
      </c>
      <c r="Y9" s="2">
        <v>23637500</v>
      </c>
      <c r="Z9" s="2">
        <v>2774281100000000</v>
      </c>
      <c r="AA9" s="2">
        <v>5192500538900000</v>
      </c>
      <c r="AB9" s="2">
        <v>1094443166.6666667</v>
      </c>
      <c r="AC9" s="2">
        <v>1493635300000</v>
      </c>
      <c r="AD9" s="2">
        <v>1737641600000</v>
      </c>
      <c r="AE9" s="2">
        <v>6824574</v>
      </c>
      <c r="AF9" s="2">
        <v>532515600000000</v>
      </c>
      <c r="AG9" s="2">
        <v>511907374409000</v>
      </c>
      <c r="AH9">
        <v>1028507833.3333334</v>
      </c>
      <c r="AI9" s="2">
        <v>9999598962000</v>
      </c>
      <c r="AJ9" s="2">
        <v>18929250871000</v>
      </c>
      <c r="AK9" s="2">
        <v>2888939.8333333335</v>
      </c>
      <c r="AL9" s="2">
        <v>21609765489000</v>
      </c>
      <c r="AM9" s="2">
        <v>65869796669000</v>
      </c>
      <c r="AN9" s="3">
        <v>5871.0999999999995</v>
      </c>
      <c r="AO9" s="2">
        <v>1837001382600</v>
      </c>
      <c r="AP9" s="2">
        <v>3411409874700</v>
      </c>
      <c r="AQ9" s="2">
        <v>1010545.4666666668</v>
      </c>
      <c r="AR9" s="2">
        <v>957447800000000</v>
      </c>
      <c r="AS9" s="2">
        <v>1155129700000000</v>
      </c>
      <c r="AT9" s="2">
        <v>1348101250</v>
      </c>
      <c r="AU9" s="2">
        <v>680275847300</v>
      </c>
      <c r="AV9" s="2">
        <v>933598935400</v>
      </c>
      <c r="AW9" s="2">
        <v>230981.59999999998</v>
      </c>
      <c r="AX9" s="2">
        <v>1398749000000</v>
      </c>
      <c r="AY9" s="2">
        <v>1700310557000</v>
      </c>
      <c r="AZ9" s="2">
        <v>1353301.6666666667</v>
      </c>
      <c r="BA9" s="2">
        <v>13039197000000</v>
      </c>
      <c r="BB9" s="2">
        <v>15558822251000</v>
      </c>
      <c r="BC9" s="2">
        <v>6540091.666666667</v>
      </c>
    </row>
    <row r="10" spans="1:55" x14ac:dyDescent="0.2">
      <c r="A10" s="1">
        <v>2006</v>
      </c>
      <c r="B10" s="2">
        <v>715904271700</v>
      </c>
      <c r="C10" s="2">
        <v>570549404200</v>
      </c>
      <c r="D10">
        <v>197636126.41666666</v>
      </c>
      <c r="E10" s="2">
        <v>999585000000</v>
      </c>
      <c r="F10" s="2">
        <v>1550859000000</v>
      </c>
      <c r="G10" s="2">
        <v>749825</v>
      </c>
      <c r="H10" s="2">
        <v>2409449922100</v>
      </c>
      <c r="I10" s="2">
        <v>3245930273700</v>
      </c>
      <c r="J10">
        <v>1264505</v>
      </c>
      <c r="K10" s="2">
        <v>1496574000000</v>
      </c>
      <c r="L10" s="2">
        <v>1735351626000</v>
      </c>
      <c r="M10" s="2">
        <v>1009245.4166666666</v>
      </c>
      <c r="N10" s="2">
        <v>21943847481700</v>
      </c>
      <c r="O10" s="2">
        <v>34553501474600</v>
      </c>
      <c r="P10" s="2">
        <v>32260873.333333332</v>
      </c>
      <c r="Q10" s="2">
        <v>1848151000000</v>
      </c>
      <c r="R10" s="2">
        <v>2054309995000</v>
      </c>
      <c r="S10" s="2">
        <v>7417080.5</v>
      </c>
      <c r="T10" s="2">
        <v>2385080000000</v>
      </c>
      <c r="U10" s="2">
        <v>2724772470000</v>
      </c>
      <c r="V10" s="2">
        <v>7417080.5</v>
      </c>
      <c r="W10" s="2">
        <v>42546289837700</v>
      </c>
      <c r="X10" s="2">
        <v>63913752464600</v>
      </c>
      <c r="Y10" s="2">
        <v>28080000</v>
      </c>
      <c r="Z10" s="2">
        <v>3339216800000000</v>
      </c>
      <c r="AA10" s="2">
        <v>5478137490000000</v>
      </c>
      <c r="AB10" s="2">
        <v>1263644416.6666667</v>
      </c>
      <c r="AC10" s="2">
        <v>1552686800000</v>
      </c>
      <c r="AD10" s="2">
        <v>1768756500000</v>
      </c>
      <c r="AE10" s="2">
        <v>7417080.5</v>
      </c>
      <c r="AF10" s="2">
        <v>535170200000000</v>
      </c>
      <c r="AG10" s="2">
        <v>518932535915000</v>
      </c>
      <c r="AH10">
        <v>1025202500</v>
      </c>
      <c r="AI10" s="2">
        <v>11120115770000</v>
      </c>
      <c r="AJ10" s="2">
        <v>19838803936000</v>
      </c>
      <c r="AK10" s="2">
        <v>3397223.75</v>
      </c>
      <c r="AL10" s="2">
        <v>26917201375000</v>
      </c>
      <c r="AM10" s="2">
        <v>71271164955000</v>
      </c>
      <c r="AN10" s="3">
        <v>8029.0083333333323</v>
      </c>
      <c r="AO10" s="2">
        <v>2057593909300</v>
      </c>
      <c r="AP10" s="2">
        <v>3602578681600</v>
      </c>
      <c r="AQ10" s="2">
        <v>1243999.5833333333</v>
      </c>
      <c r="AR10" s="2">
        <v>1005601500000000</v>
      </c>
      <c r="AS10" s="2">
        <v>1215939500000000</v>
      </c>
      <c r="AT10" s="2">
        <v>1458453000</v>
      </c>
      <c r="AU10" s="2">
        <v>795757108800</v>
      </c>
      <c r="AV10" s="2">
        <v>998465278200</v>
      </c>
      <c r="AW10" s="2">
        <v>291257.12500000006</v>
      </c>
      <c r="AX10" s="2">
        <v>1472038000000</v>
      </c>
      <c r="AY10" s="2">
        <v>1740884649000</v>
      </c>
      <c r="AZ10" s="2">
        <v>1525174.9166666667</v>
      </c>
      <c r="BA10" s="2">
        <v>13815583000000</v>
      </c>
      <c r="BB10" s="2">
        <v>15992063824000</v>
      </c>
      <c r="BC10" s="2">
        <v>6883533.333333333</v>
      </c>
    </row>
    <row r="11" spans="1:55" x14ac:dyDescent="0.2">
      <c r="A11" s="1">
        <v>2007</v>
      </c>
      <c r="B11" s="2">
        <v>896980174100</v>
      </c>
      <c r="C11" s="2">
        <v>621942502600</v>
      </c>
      <c r="D11">
        <v>245912531.16666666</v>
      </c>
      <c r="E11" s="2">
        <v>1089023000000</v>
      </c>
      <c r="F11" s="2">
        <v>1609379000000</v>
      </c>
      <c r="G11" s="2">
        <v>880066.66666666663</v>
      </c>
      <c r="H11" s="2">
        <v>2720262937800</v>
      </c>
      <c r="I11" s="2">
        <v>3442954041300</v>
      </c>
      <c r="J11">
        <v>1469498.1666666667</v>
      </c>
      <c r="K11" s="2">
        <v>1577660000000</v>
      </c>
      <c r="L11" s="2">
        <v>1770924679000</v>
      </c>
      <c r="M11" s="2">
        <v>1119641.9166666667</v>
      </c>
      <c r="N11" s="2">
        <v>27009232371800</v>
      </c>
      <c r="O11" s="2">
        <v>39470762217000</v>
      </c>
      <c r="P11" s="2">
        <v>37923258.333333336</v>
      </c>
      <c r="Q11" s="2">
        <v>1941360000000</v>
      </c>
      <c r="R11" s="2">
        <v>2104121594000</v>
      </c>
      <c r="S11" s="2">
        <v>8248468.583333333</v>
      </c>
      <c r="T11" s="2">
        <v>2499550000000</v>
      </c>
      <c r="U11" s="2">
        <v>2805874100000</v>
      </c>
      <c r="V11" s="2">
        <v>8248468.583333333</v>
      </c>
      <c r="W11" s="2">
        <v>48986620590700</v>
      </c>
      <c r="X11" s="2">
        <v>68810066843300</v>
      </c>
      <c r="Y11" s="2">
        <v>34210833.333333336</v>
      </c>
      <c r="Z11" s="2">
        <v>3950893200000000</v>
      </c>
      <c r="AA11" s="2">
        <v>5825726531400000</v>
      </c>
      <c r="AB11" s="2">
        <v>1465048083.3333333</v>
      </c>
      <c r="AC11" s="2">
        <v>1614839800000</v>
      </c>
      <c r="AD11" s="2">
        <v>1795059200000</v>
      </c>
      <c r="AE11" s="2">
        <v>8248468.583333333</v>
      </c>
      <c r="AF11" s="2">
        <v>539281700000000</v>
      </c>
      <c r="AG11" s="2">
        <v>526633336015000</v>
      </c>
      <c r="AH11">
        <v>1026997083.3333334</v>
      </c>
      <c r="AI11" s="2">
        <v>12046753157000</v>
      </c>
      <c r="AJ11" s="2">
        <v>20251027288000</v>
      </c>
      <c r="AK11" s="2">
        <v>3744264</v>
      </c>
      <c r="AL11" s="2">
        <v>33247513229000</v>
      </c>
      <c r="AM11" s="2">
        <v>77329198132000</v>
      </c>
      <c r="AN11" s="3">
        <v>11578.574999999997</v>
      </c>
      <c r="AO11" s="2">
        <v>2346649864200</v>
      </c>
      <c r="AP11" s="2">
        <v>3795693977100</v>
      </c>
      <c r="AQ11" s="2">
        <v>1533327.1666666667</v>
      </c>
      <c r="AR11" s="2">
        <v>1089660200000000</v>
      </c>
      <c r="AS11" s="2">
        <v>1286458500000000</v>
      </c>
      <c r="AT11" s="2">
        <v>1608702416.6666667</v>
      </c>
      <c r="AU11" s="2">
        <v>887714413800</v>
      </c>
      <c r="AV11" s="2">
        <v>1048822953700</v>
      </c>
      <c r="AW11" s="2">
        <v>342953.05833333335</v>
      </c>
      <c r="AX11" s="2">
        <v>1544637000000</v>
      </c>
      <c r="AY11" s="2">
        <v>1786501593000</v>
      </c>
      <c r="AZ11" s="2">
        <v>1730673.25</v>
      </c>
      <c r="BA11" s="2">
        <v>14474228000000</v>
      </c>
      <c r="BB11" s="2">
        <v>16312522122000</v>
      </c>
      <c r="BC11" s="2">
        <v>7306850</v>
      </c>
    </row>
    <row r="12" spans="1:55" x14ac:dyDescent="0.2">
      <c r="A12" s="1">
        <v>2008</v>
      </c>
      <c r="B12" s="2">
        <v>1149646090600</v>
      </c>
      <c r="C12" s="2">
        <v>647176159700</v>
      </c>
      <c r="D12">
        <v>292261953.16666669</v>
      </c>
      <c r="E12" s="2">
        <v>1179629000000</v>
      </c>
      <c r="F12" s="2">
        <v>1667095000000</v>
      </c>
      <c r="G12" s="2">
        <v>1051983.3333333333</v>
      </c>
      <c r="H12" s="2">
        <v>3109803089000</v>
      </c>
      <c r="I12" s="2">
        <v>3618344849300</v>
      </c>
      <c r="J12">
        <v>1745835.8333333333</v>
      </c>
      <c r="K12" s="2">
        <v>1657040000000</v>
      </c>
      <c r="L12" s="2">
        <v>1788552575000</v>
      </c>
      <c r="M12" s="2">
        <v>1251706</v>
      </c>
      <c r="N12" s="2">
        <v>31924461277900</v>
      </c>
      <c r="O12" s="2">
        <v>43279958745600</v>
      </c>
      <c r="P12" s="2">
        <v>44213285</v>
      </c>
      <c r="Q12" s="2">
        <v>1992380000000</v>
      </c>
      <c r="R12" s="2">
        <v>2109485967000</v>
      </c>
      <c r="S12" s="2">
        <v>9095328.916666666</v>
      </c>
      <c r="T12" s="2">
        <v>2546490000000</v>
      </c>
      <c r="U12" s="2">
        <v>2832807100000</v>
      </c>
      <c r="V12" s="2">
        <v>9095328.916666666</v>
      </c>
      <c r="W12" s="2">
        <v>55141523846600</v>
      </c>
      <c r="X12" s="2">
        <v>70934025841100</v>
      </c>
      <c r="Y12" s="2">
        <v>41495833.333333336</v>
      </c>
      <c r="Z12" s="2">
        <v>4948688397200000</v>
      </c>
      <c r="AA12" s="2">
        <v>6176068457500000</v>
      </c>
      <c r="AB12" s="2">
        <v>1704821833.3333333</v>
      </c>
      <c r="AC12" s="2">
        <v>1637699400000</v>
      </c>
      <c r="AD12" s="2">
        <v>1777790500000</v>
      </c>
      <c r="AE12" s="2">
        <v>9095328.916666666</v>
      </c>
      <c r="AF12" s="2">
        <v>527823800000000</v>
      </c>
      <c r="AG12" s="2">
        <v>520185822008000</v>
      </c>
      <c r="AH12">
        <v>1034706166.6666666</v>
      </c>
      <c r="AI12" s="2">
        <v>12927761287000</v>
      </c>
      <c r="AJ12" s="2">
        <v>20442061681000</v>
      </c>
      <c r="AK12" s="2">
        <v>4283203.5</v>
      </c>
      <c r="AL12" s="2">
        <v>41276849187000</v>
      </c>
      <c r="AM12" s="2">
        <v>81350292667000</v>
      </c>
      <c r="AN12" s="3">
        <v>14983.466666666667</v>
      </c>
      <c r="AO12" s="2">
        <v>2611630824700</v>
      </c>
      <c r="AP12" s="2">
        <v>3916816237700</v>
      </c>
      <c r="AQ12" s="2">
        <v>1822424.3333333333</v>
      </c>
      <c r="AR12" s="2">
        <v>1154216500000000</v>
      </c>
      <c r="AS12" s="2">
        <v>1325219300000000</v>
      </c>
      <c r="AT12" s="2">
        <v>1794598416.6666667</v>
      </c>
      <c r="AU12" s="2">
        <v>1002756496300</v>
      </c>
      <c r="AV12" s="2">
        <v>1057371118500</v>
      </c>
      <c r="AW12" s="2">
        <v>410022.89999999991</v>
      </c>
      <c r="AX12" s="2">
        <v>1593600000000</v>
      </c>
      <c r="AY12" s="2">
        <v>1782468977000</v>
      </c>
      <c r="AZ12" s="2">
        <v>1983716.75</v>
      </c>
      <c r="BA12" s="2">
        <v>14769862000000</v>
      </c>
      <c r="BB12" s="2">
        <v>16331051067000</v>
      </c>
      <c r="BC12" s="2">
        <v>7803958.333333333</v>
      </c>
    </row>
    <row r="13" spans="1:55" x14ac:dyDescent="0.2">
      <c r="A13" s="1">
        <v>2009</v>
      </c>
      <c r="B13" s="2">
        <v>1247929268900</v>
      </c>
      <c r="C13" s="2">
        <v>608872876400</v>
      </c>
      <c r="D13">
        <v>321961196.5</v>
      </c>
      <c r="E13" s="2">
        <v>1261441000000</v>
      </c>
      <c r="F13" s="2">
        <v>1698646000000</v>
      </c>
      <c r="G13" s="2">
        <v>1171183.3333333333</v>
      </c>
      <c r="H13" s="2">
        <v>3333039355400</v>
      </c>
      <c r="I13" s="2">
        <v>3613792537200</v>
      </c>
      <c r="J13">
        <v>2029986.0833333333</v>
      </c>
      <c r="K13" s="2">
        <v>1571334000000</v>
      </c>
      <c r="L13" s="2">
        <v>1736414725000</v>
      </c>
      <c r="M13" s="2">
        <v>1291901</v>
      </c>
      <c r="N13" s="2">
        <v>34851774373500</v>
      </c>
      <c r="O13" s="2">
        <v>47347723322000</v>
      </c>
      <c r="P13" s="2">
        <v>55948425.833333336</v>
      </c>
      <c r="Q13" s="2">
        <v>1936422000000</v>
      </c>
      <c r="R13" s="2">
        <v>2048873815000</v>
      </c>
      <c r="S13" s="2">
        <v>9405587.333333334</v>
      </c>
      <c r="T13" s="2">
        <v>2445730000000</v>
      </c>
      <c r="U13" s="2">
        <v>2671511700000</v>
      </c>
      <c r="V13" s="2">
        <v>9405587.333333334</v>
      </c>
      <c r="W13" s="2">
        <v>63664065417500</v>
      </c>
      <c r="X13" s="2">
        <v>76510780097400</v>
      </c>
      <c r="Y13" s="2">
        <v>49785833.333333336</v>
      </c>
      <c r="Z13" s="2">
        <v>5606203365800000</v>
      </c>
      <c r="AA13" s="2">
        <v>6461950710600000</v>
      </c>
      <c r="AB13" s="2">
        <v>1975642750</v>
      </c>
      <c r="AC13" s="2">
        <v>1577255900000</v>
      </c>
      <c r="AD13" s="2">
        <v>1683906500000</v>
      </c>
      <c r="AE13" s="2">
        <v>9405587.333333334</v>
      </c>
      <c r="AF13" s="2">
        <v>494938400000000</v>
      </c>
      <c r="AG13" s="2">
        <v>490570413656000</v>
      </c>
      <c r="AH13">
        <v>1053288166.6666666</v>
      </c>
      <c r="AI13" s="2">
        <v>12749117922000</v>
      </c>
      <c r="AJ13" s="2">
        <v>19155182679000</v>
      </c>
      <c r="AK13" s="2">
        <v>4754492.5</v>
      </c>
      <c r="AL13" s="2">
        <v>38807218575000</v>
      </c>
      <c r="AM13" s="2">
        <v>75004974791000</v>
      </c>
      <c r="AN13" s="3">
        <v>16511.924999999999</v>
      </c>
      <c r="AO13" s="2">
        <v>2794228410100</v>
      </c>
      <c r="AP13" s="2">
        <v>3856572112700</v>
      </c>
      <c r="AQ13" s="2">
        <v>1941185.3333333333</v>
      </c>
      <c r="AR13" s="2">
        <v>1205347700000000</v>
      </c>
      <c r="AS13" s="2">
        <v>1335724300000000</v>
      </c>
      <c r="AT13" s="2">
        <v>1941358333.3333333</v>
      </c>
      <c r="AU13" s="2">
        <v>1006372481600</v>
      </c>
      <c r="AV13" s="2">
        <v>1006372481600</v>
      </c>
      <c r="AW13" s="2">
        <v>483331.05</v>
      </c>
      <c r="AX13" s="2">
        <v>1548802000000</v>
      </c>
      <c r="AY13" s="2">
        <v>1700208793000</v>
      </c>
      <c r="AZ13" s="2">
        <v>2179939</v>
      </c>
      <c r="BA13" s="2">
        <v>14478067000000</v>
      </c>
      <c r="BB13" s="2">
        <v>15910281498000</v>
      </c>
      <c r="BC13" s="2">
        <v>8433750</v>
      </c>
    </row>
    <row r="14" spans="1:55" x14ac:dyDescent="0.2">
      <c r="A14" s="1">
        <v>2010</v>
      </c>
      <c r="B14" s="2">
        <v>1661720925900</v>
      </c>
      <c r="C14" s="2">
        <v>670523679400</v>
      </c>
      <c r="D14">
        <v>412197784.25</v>
      </c>
      <c r="E14" s="2">
        <v>1304381000000</v>
      </c>
      <c r="F14" s="2">
        <v>1736467000000</v>
      </c>
      <c r="G14" s="2">
        <v>1240450</v>
      </c>
      <c r="H14" s="2">
        <v>3885847000000</v>
      </c>
      <c r="I14" s="2">
        <v>3885847000000</v>
      </c>
      <c r="J14">
        <v>2477017</v>
      </c>
      <c r="K14" s="2">
        <v>1666046000000</v>
      </c>
      <c r="L14" s="2">
        <v>1790083942000</v>
      </c>
      <c r="M14" s="2">
        <v>1362051.9166666667</v>
      </c>
      <c r="N14" s="2">
        <v>41211925579600</v>
      </c>
      <c r="O14" s="2">
        <v>52383566126500</v>
      </c>
      <c r="P14" s="2">
        <v>67496015.833333328</v>
      </c>
      <c r="Q14" s="2">
        <v>1995289000000</v>
      </c>
      <c r="R14" s="2">
        <v>2088815332000</v>
      </c>
      <c r="S14" s="2">
        <v>9301159.833333334</v>
      </c>
      <c r="T14" s="2">
        <v>2564400000000</v>
      </c>
      <c r="U14" s="2">
        <v>2783177750000</v>
      </c>
      <c r="V14" s="2">
        <v>9301159.833333334</v>
      </c>
      <c r="W14" s="2">
        <v>76344721043800</v>
      </c>
      <c r="X14" s="2">
        <v>83012348442500</v>
      </c>
      <c r="Y14" s="2">
        <v>57902500</v>
      </c>
      <c r="Z14" s="2">
        <v>6864133100000000</v>
      </c>
      <c r="AA14" s="2">
        <v>6864133100000000</v>
      </c>
      <c r="AB14" s="2">
        <v>2216640666.6666665</v>
      </c>
      <c r="AC14" s="2">
        <v>1611279400000</v>
      </c>
      <c r="AD14" s="2">
        <v>1712756800000</v>
      </c>
      <c r="AE14" s="2">
        <v>9301159.833333334</v>
      </c>
      <c r="AF14" s="2">
        <v>505530600000000</v>
      </c>
      <c r="AG14" s="2">
        <v>510673586544000</v>
      </c>
      <c r="AH14">
        <v>1075187750</v>
      </c>
      <c r="AI14" s="2">
        <v>13968149524000</v>
      </c>
      <c r="AJ14" s="2">
        <v>20107450900000</v>
      </c>
      <c r="AK14" s="2">
        <v>5184814.166666667</v>
      </c>
      <c r="AL14" s="2">
        <v>46308541190000</v>
      </c>
      <c r="AM14" s="2">
        <v>78380198656000</v>
      </c>
      <c r="AN14" s="3">
        <v>20315.350000000002</v>
      </c>
      <c r="AO14" s="2">
        <v>3055613201500</v>
      </c>
      <c r="AP14" s="2">
        <v>3973801603300</v>
      </c>
      <c r="AQ14" s="2">
        <v>2008508.3333333333</v>
      </c>
      <c r="AR14" s="2">
        <v>1322611200000000</v>
      </c>
      <c r="AS14" s="2">
        <v>1426618000000000</v>
      </c>
      <c r="AT14" s="2">
        <v>2101043916.6666667</v>
      </c>
      <c r="AU14" s="2">
        <v>1167664479200</v>
      </c>
      <c r="AV14" s="2">
        <v>1091180540500</v>
      </c>
      <c r="AW14" s="2">
        <v>557164.14166666672</v>
      </c>
      <c r="AX14" s="2">
        <v>1608553000000</v>
      </c>
      <c r="AY14" s="2">
        <v>1738271174000</v>
      </c>
      <c r="AZ14" s="2">
        <v>2373543.1666666665</v>
      </c>
      <c r="BA14" s="2">
        <v>15048971000000</v>
      </c>
      <c r="BB14" s="2">
        <v>16339094225000</v>
      </c>
      <c r="BC14" s="2">
        <v>8646325</v>
      </c>
    </row>
    <row r="15" spans="1:55" x14ac:dyDescent="0.2">
      <c r="A15" s="1">
        <v>2011</v>
      </c>
      <c r="B15" s="2">
        <v>2179024103600</v>
      </c>
      <c r="C15" s="2">
        <v>710781597200</v>
      </c>
      <c r="D15">
        <v>546536361.33333337</v>
      </c>
      <c r="E15" s="2">
        <v>1418651000000</v>
      </c>
      <c r="F15" s="2">
        <v>1778298000000</v>
      </c>
      <c r="G15" s="2">
        <v>1358866.6666666667</v>
      </c>
      <c r="H15" s="2">
        <v>4376382000000</v>
      </c>
      <c r="I15" s="2">
        <v>4040287000000</v>
      </c>
      <c r="J15">
        <v>2902501.8333333335</v>
      </c>
      <c r="K15" s="2">
        <v>1774063000000</v>
      </c>
      <c r="L15" s="2">
        <v>1846242355000</v>
      </c>
      <c r="M15" s="2">
        <v>1462120.8333333333</v>
      </c>
      <c r="N15" s="2">
        <v>48794018052500</v>
      </c>
      <c r="O15" s="2">
        <v>57386632616500</v>
      </c>
      <c r="P15" s="2">
        <v>78040479.166666672</v>
      </c>
      <c r="Q15" s="2">
        <v>2058369000000</v>
      </c>
      <c r="R15" s="2">
        <v>2134616799000</v>
      </c>
      <c r="S15" s="2">
        <v>9405774.833333334</v>
      </c>
      <c r="T15" s="2">
        <v>2693560000000</v>
      </c>
      <c r="U15" s="2">
        <v>2892422840000</v>
      </c>
      <c r="V15" s="2">
        <v>9405774.833333334</v>
      </c>
      <c r="W15" s="2">
        <v>87363287113728.109</v>
      </c>
      <c r="X15" s="2">
        <v>87363288108910.203</v>
      </c>
      <c r="Y15" s="2">
        <v>67441666.666666672</v>
      </c>
      <c r="Z15" s="2">
        <v>7831726000000000</v>
      </c>
      <c r="AA15" s="2">
        <v>7287635300000000</v>
      </c>
      <c r="AB15" s="2">
        <v>2571212750</v>
      </c>
      <c r="AC15" s="2">
        <v>1648755800000</v>
      </c>
      <c r="AD15" s="2">
        <v>1724871700000</v>
      </c>
      <c r="AE15" s="2">
        <v>9405774.833333334</v>
      </c>
      <c r="AF15" s="2">
        <v>497448900000000</v>
      </c>
      <c r="AG15" s="2">
        <v>510795175493000</v>
      </c>
      <c r="AH15">
        <v>1098857416.6666667</v>
      </c>
      <c r="AI15" s="2">
        <v>15268436667000</v>
      </c>
      <c r="AJ15" s="2">
        <v>20799960569000</v>
      </c>
      <c r="AK15" s="2">
        <v>6046947.666666667</v>
      </c>
      <c r="AL15" s="2">
        <v>60114000000000</v>
      </c>
      <c r="AM15" s="2">
        <v>81750570074000</v>
      </c>
      <c r="AN15" s="3">
        <v>24519.166666666672</v>
      </c>
      <c r="AO15" s="2">
        <v>3327047014300</v>
      </c>
      <c r="AP15" s="2">
        <v>4099713743500</v>
      </c>
      <c r="AQ15" s="2">
        <v>2145535.5</v>
      </c>
      <c r="AR15" s="2">
        <v>1388937200000000</v>
      </c>
      <c r="AS15" s="2">
        <v>1479198400000000</v>
      </c>
      <c r="AT15" s="2">
        <v>2210673166.6666665</v>
      </c>
      <c r="AU15" s="2">
        <v>1404927614900</v>
      </c>
      <c r="AV15" s="2">
        <v>1213393967700</v>
      </c>
      <c r="AW15" s="2">
        <v>670635.79166666674</v>
      </c>
      <c r="AX15" s="2">
        <v>1662590000000</v>
      </c>
      <c r="AY15" s="2">
        <v>1758176144000</v>
      </c>
      <c r="AZ15" s="2">
        <v>2328329.3333333335</v>
      </c>
      <c r="BA15" s="2">
        <v>15599732000000</v>
      </c>
      <c r="BB15" s="2">
        <v>16594704135000</v>
      </c>
      <c r="BC15" s="2">
        <v>9277258.333333334</v>
      </c>
    </row>
    <row r="16" spans="1:55" x14ac:dyDescent="0.2">
      <c r="A16" s="1">
        <v>2012</v>
      </c>
      <c r="B16" s="2">
        <v>2637913848200</v>
      </c>
      <c r="C16" s="2">
        <v>703485989500</v>
      </c>
      <c r="D16">
        <v>687067317.16666663</v>
      </c>
      <c r="E16" s="2">
        <v>1500852000000</v>
      </c>
      <c r="F16" s="2">
        <v>1847979000000</v>
      </c>
      <c r="G16" s="2">
        <v>1465266.6666666667</v>
      </c>
      <c r="H16" s="2">
        <v>4814760000000</v>
      </c>
      <c r="I16" s="2">
        <v>4117908023600</v>
      </c>
      <c r="J16">
        <v>3409759.4166666665</v>
      </c>
      <c r="K16" s="2">
        <v>1827205000000</v>
      </c>
      <c r="L16" s="2">
        <v>1878656118000</v>
      </c>
      <c r="M16" s="2">
        <v>1560361.0833333333</v>
      </c>
      <c r="N16" s="2">
        <v>53857995346900</v>
      </c>
      <c r="O16" s="2">
        <v>61899366162200</v>
      </c>
      <c r="P16" s="2">
        <v>91469504.166666672</v>
      </c>
      <c r="Q16" s="2">
        <v>2088804000000</v>
      </c>
      <c r="R16" s="2">
        <v>2141301026000</v>
      </c>
      <c r="S16" s="2">
        <v>9664085.833333334</v>
      </c>
      <c r="T16" s="2">
        <v>2745310000000</v>
      </c>
      <c r="U16" s="2">
        <v>2904527560000</v>
      </c>
      <c r="V16" s="2">
        <v>9664085.833333334</v>
      </c>
      <c r="W16" s="2">
        <v>99440131041529.297</v>
      </c>
      <c r="X16" s="2">
        <v>92130167685994.297</v>
      </c>
      <c r="Y16" s="2">
        <v>76710000</v>
      </c>
      <c r="Z16" s="2">
        <v>8615704500000000</v>
      </c>
      <c r="AA16" s="2">
        <v>7727083400000000</v>
      </c>
      <c r="AB16" s="2">
        <v>3046428083.3333335</v>
      </c>
      <c r="AC16" s="2">
        <v>1624358700000</v>
      </c>
      <c r="AD16" s="2">
        <v>1673454900000</v>
      </c>
      <c r="AE16" s="2">
        <v>9664085.833333334</v>
      </c>
      <c r="AF16" s="2">
        <v>500474700000000</v>
      </c>
      <c r="AG16" s="2">
        <v>517817337272000</v>
      </c>
      <c r="AH16">
        <v>1122559333.3333333</v>
      </c>
      <c r="AI16" s="2">
        <v>16529124025000</v>
      </c>
      <c r="AJ16" s="2">
        <v>21539027006000</v>
      </c>
      <c r="AK16" s="2">
        <v>7219510.666666667</v>
      </c>
      <c r="AL16" s="2">
        <v>68103400000000</v>
      </c>
      <c r="AM16" s="2">
        <v>85040283448000</v>
      </c>
      <c r="AN16" s="3">
        <v>28818.741666666669</v>
      </c>
      <c r="AO16" s="2">
        <v>3566385035100</v>
      </c>
      <c r="AP16" s="2">
        <v>4197952411900</v>
      </c>
      <c r="AQ16" s="2">
        <v>2287630.3333333335</v>
      </c>
      <c r="AR16" s="2">
        <v>1440111400000000</v>
      </c>
      <c r="AS16" s="2">
        <v>1514736600000000</v>
      </c>
      <c r="AT16" s="2">
        <v>2381976750</v>
      </c>
      <c r="AU16" s="2">
        <v>1581479250900</v>
      </c>
      <c r="AV16" s="2">
        <v>1271497249400</v>
      </c>
      <c r="AW16" s="2">
        <v>736380.6416666666</v>
      </c>
      <c r="AX16" s="2">
        <v>1713715000000</v>
      </c>
      <c r="AY16" s="2">
        <v>1784776237000</v>
      </c>
      <c r="AZ16" s="2">
        <v>2293710.4166666665</v>
      </c>
      <c r="BA16" s="2">
        <v>16253970000000</v>
      </c>
      <c r="BB16" s="2">
        <v>16974575729000</v>
      </c>
      <c r="BC16" s="2">
        <v>10065575</v>
      </c>
    </row>
    <row r="17" spans="1:55" x14ac:dyDescent="0.2">
      <c r="A17" s="1">
        <v>2013</v>
      </c>
      <c r="B17" s="2">
        <v>3348308488200</v>
      </c>
      <c r="C17" s="2">
        <v>720407105300</v>
      </c>
      <c r="D17">
        <v>879263663.42416668</v>
      </c>
      <c r="E17" s="2">
        <v>1537445000000</v>
      </c>
      <c r="F17" s="2">
        <v>1896141000000</v>
      </c>
      <c r="G17" s="2">
        <v>1562833.3333333333</v>
      </c>
      <c r="H17" s="2">
        <v>5331619000000</v>
      </c>
      <c r="I17" s="2">
        <v>4241643857400</v>
      </c>
      <c r="J17">
        <v>3790800.75</v>
      </c>
      <c r="K17" s="2">
        <v>1902249000000</v>
      </c>
      <c r="L17" s="2">
        <v>1922350157000</v>
      </c>
      <c r="M17" s="2">
        <v>1662610</v>
      </c>
      <c r="N17" s="2">
        <v>59296322954900</v>
      </c>
      <c r="O17" s="2">
        <v>66706563847900</v>
      </c>
      <c r="P17" s="2">
        <v>105021534.16666667</v>
      </c>
      <c r="Q17" s="2">
        <v>2117189000000</v>
      </c>
      <c r="R17" s="2">
        <v>2153641915000</v>
      </c>
      <c r="S17" s="2">
        <v>9833783.25</v>
      </c>
      <c r="T17" s="2">
        <v>2811350000000</v>
      </c>
      <c r="U17" s="2">
        <v>2917237520000</v>
      </c>
      <c r="V17" s="2">
        <v>9833783.25</v>
      </c>
      <c r="W17" s="2">
        <v>112335216116393</v>
      </c>
      <c r="X17" s="2">
        <v>98013698221771.109</v>
      </c>
      <c r="Y17" s="2">
        <v>86909166.666666672</v>
      </c>
      <c r="Z17" s="2">
        <v>9546134000000000</v>
      </c>
      <c r="AA17" s="2">
        <v>8156497800000000</v>
      </c>
      <c r="AB17" s="2">
        <v>3465729416.6666665</v>
      </c>
      <c r="AC17" s="2">
        <v>1612751300000</v>
      </c>
      <c r="AD17" s="2">
        <v>1642645500000</v>
      </c>
      <c r="AE17" s="2">
        <v>9833783.25</v>
      </c>
      <c r="AF17" s="2">
        <v>508700600000000</v>
      </c>
      <c r="AG17" s="2">
        <v>528200093617000</v>
      </c>
      <c r="AH17">
        <v>1155276333.3333333</v>
      </c>
      <c r="AI17" s="2">
        <v>16954005680000</v>
      </c>
      <c r="AJ17" s="2">
        <v>21722561391000</v>
      </c>
      <c r="AK17" s="2">
        <v>8167504.25</v>
      </c>
      <c r="AL17" s="2">
        <v>72985700000000</v>
      </c>
      <c r="AM17" s="2">
        <v>86533099419000</v>
      </c>
      <c r="AN17" s="3">
        <v>33484.98333333333</v>
      </c>
      <c r="AO17" s="2">
        <v>3868630208400</v>
      </c>
      <c r="AP17" s="2">
        <v>4302291176100</v>
      </c>
      <c r="AQ17" s="2">
        <v>2461569.75</v>
      </c>
      <c r="AR17" s="2">
        <v>1500819100000000</v>
      </c>
      <c r="AS17" s="2">
        <v>1562673600000000</v>
      </c>
      <c r="AT17" s="2">
        <v>2544688666.6666665</v>
      </c>
      <c r="AU17" s="2">
        <v>1823427315100</v>
      </c>
      <c r="AV17" s="2">
        <v>1379394179100</v>
      </c>
      <c r="AW17" s="2">
        <v>860559.58333333349</v>
      </c>
      <c r="AX17" s="2">
        <v>1781361000000</v>
      </c>
      <c r="AY17" s="2">
        <v>1816765178000</v>
      </c>
      <c r="AZ17" s="2">
        <v>2388255</v>
      </c>
      <c r="BA17" s="2">
        <v>16880683000000</v>
      </c>
      <c r="BB17" s="2">
        <v>17334068403000</v>
      </c>
      <c r="BC17" s="2">
        <v>10741308.333333334</v>
      </c>
    </row>
    <row r="18" spans="1:55" x14ac:dyDescent="0.2">
      <c r="A18" s="1">
        <v>2014</v>
      </c>
      <c r="B18" s="2">
        <v>4579086425400</v>
      </c>
      <c r="C18" s="2">
        <v>702306046000</v>
      </c>
      <c r="D18">
        <v>1096896605.6666667</v>
      </c>
      <c r="E18" s="2">
        <v>1599695000000</v>
      </c>
      <c r="F18" s="2">
        <v>1945581000000</v>
      </c>
      <c r="G18" s="2">
        <v>1675808.3333333333</v>
      </c>
      <c r="H18" s="2">
        <v>5778953000000</v>
      </c>
      <c r="I18" s="2">
        <v>4263019865100</v>
      </c>
      <c r="J18">
        <v>4169955.75</v>
      </c>
      <c r="K18" s="2">
        <v>1994897000000</v>
      </c>
      <c r="L18" s="2">
        <v>1977588250000</v>
      </c>
      <c r="M18" s="2">
        <v>1800223.8333333333</v>
      </c>
      <c r="N18" s="2">
        <v>64356310454400</v>
      </c>
      <c r="O18" s="2">
        <v>71660035622500</v>
      </c>
      <c r="P18" s="2">
        <v>118389041.66666667</v>
      </c>
      <c r="Q18" s="2">
        <v>2149765000000</v>
      </c>
      <c r="R18" s="2">
        <v>2174234674000</v>
      </c>
      <c r="S18" s="2">
        <v>10020867.416666666</v>
      </c>
      <c r="T18" s="2">
        <v>2927430000000</v>
      </c>
      <c r="U18" s="2">
        <v>2981695150000</v>
      </c>
      <c r="V18" s="2">
        <v>10020867.416666666</v>
      </c>
      <c r="W18" s="2">
        <v>124679592925546</v>
      </c>
      <c r="X18" s="2">
        <v>105276736344243</v>
      </c>
      <c r="Y18" s="2">
        <v>97948333.333333328</v>
      </c>
      <c r="Z18" s="2">
        <v>1.05697053E+16</v>
      </c>
      <c r="AA18" s="2">
        <v>8564866600000000</v>
      </c>
      <c r="AB18" s="2">
        <v>3863274833.3333335</v>
      </c>
      <c r="AC18" s="2">
        <v>1627405600000</v>
      </c>
      <c r="AD18" s="2">
        <v>1642570800000</v>
      </c>
      <c r="AE18" s="2">
        <v>10020867.416666666</v>
      </c>
      <c r="AF18" s="2">
        <v>518811000000000</v>
      </c>
      <c r="AG18" s="2">
        <v>529764651420000</v>
      </c>
      <c r="AH18">
        <v>1187190833.3333333</v>
      </c>
      <c r="AI18" s="2">
        <v>18137650611000</v>
      </c>
      <c r="AJ18" s="2">
        <v>22266442955000</v>
      </c>
      <c r="AK18" s="2">
        <v>9070451.5</v>
      </c>
      <c r="AL18" s="2">
        <v>79030000000000</v>
      </c>
      <c r="AM18" s="2">
        <v>87170214266000</v>
      </c>
      <c r="AN18" s="3">
        <v>37750.241666666669</v>
      </c>
      <c r="AO18" s="2">
        <v>4133873023400</v>
      </c>
      <c r="AP18" s="2">
        <v>4363118106800</v>
      </c>
      <c r="AQ18" s="2">
        <v>2637658.6666666665</v>
      </c>
      <c r="AR18" s="2">
        <v>1562928900000000</v>
      </c>
      <c r="AS18" s="2">
        <v>1612717500000000</v>
      </c>
      <c r="AT18" s="2">
        <v>2725961166.6666665</v>
      </c>
      <c r="AU18" s="2">
        <v>2054897827700</v>
      </c>
      <c r="AV18" s="2">
        <v>1447532322500</v>
      </c>
      <c r="AW18" s="2">
        <v>999959.05833333323</v>
      </c>
      <c r="AX18" s="2">
        <v>1862514000000</v>
      </c>
      <c r="AY18" s="2">
        <v>1874825041000</v>
      </c>
      <c r="AZ18" s="2">
        <v>2375108.75</v>
      </c>
      <c r="BA18" s="2">
        <v>17608138000000</v>
      </c>
      <c r="BB18" s="2">
        <v>17771549056000</v>
      </c>
      <c r="BC18" s="2">
        <v>11400191.666666666</v>
      </c>
    </row>
    <row r="19" spans="1:55" x14ac:dyDescent="0.2">
      <c r="A19" s="1">
        <v>2015</v>
      </c>
      <c r="B19" s="2">
        <v>5954510895700</v>
      </c>
      <c r="C19" s="2">
        <v>721487146600</v>
      </c>
      <c r="D19">
        <v>1462209128.75</v>
      </c>
      <c r="E19" s="2">
        <v>1624733000000</v>
      </c>
      <c r="F19" s="2">
        <v>1988419000000</v>
      </c>
      <c r="G19" s="2">
        <v>1788875</v>
      </c>
      <c r="H19" s="2">
        <v>5995787000000</v>
      </c>
      <c r="I19" s="2">
        <v>4111863267300</v>
      </c>
      <c r="J19">
        <v>4587928.25</v>
      </c>
      <c r="K19" s="2">
        <v>1990442000000</v>
      </c>
      <c r="L19" s="2">
        <v>1990442000000</v>
      </c>
      <c r="M19" s="2">
        <v>1934303.4166666667</v>
      </c>
      <c r="N19" s="2">
        <v>68885821804900.008</v>
      </c>
      <c r="O19" s="2">
        <v>76705854405300</v>
      </c>
      <c r="P19" s="2">
        <v>132451108.33333333</v>
      </c>
      <c r="Q19" s="2">
        <v>2198432000000</v>
      </c>
      <c r="R19" s="2">
        <v>2198432000000</v>
      </c>
      <c r="S19" s="2">
        <v>10623450</v>
      </c>
      <c r="T19" s="2">
        <v>3026180000000</v>
      </c>
      <c r="U19" s="2">
        <v>3026180000000</v>
      </c>
      <c r="V19" s="2">
        <v>10623450</v>
      </c>
      <c r="W19" s="2">
        <v>137718738788564</v>
      </c>
      <c r="X19" s="2">
        <v>113694931359595</v>
      </c>
      <c r="Y19" s="2">
        <v>108520833.33333333</v>
      </c>
      <c r="Z19" s="2">
        <v>1.15263328E+16</v>
      </c>
      <c r="AA19" s="2">
        <v>8982517100000000</v>
      </c>
      <c r="AB19" s="2">
        <v>4357690916.666667</v>
      </c>
      <c r="AC19" s="2">
        <v>1655355000000</v>
      </c>
      <c r="AD19" s="2">
        <v>1655355000000</v>
      </c>
      <c r="AE19" s="2">
        <v>10623450</v>
      </c>
      <c r="AF19" s="2">
        <v>538032300000000</v>
      </c>
      <c r="AG19" s="2">
        <v>538032300000000</v>
      </c>
      <c r="AH19">
        <v>1222534333.3333333</v>
      </c>
      <c r="AI19" s="2">
        <v>19228614674000</v>
      </c>
      <c r="AJ19" s="2">
        <v>22868154259000</v>
      </c>
      <c r="AK19" s="2">
        <v>9878726.166666666</v>
      </c>
      <c r="AL19" s="2">
        <v>83087400000000</v>
      </c>
      <c r="AM19" s="2">
        <v>85450590690000</v>
      </c>
      <c r="AN19" s="3">
        <v>44700.858333333337</v>
      </c>
      <c r="AO19" s="2">
        <v>4420792525200</v>
      </c>
      <c r="AP19" s="2">
        <v>4420792517400</v>
      </c>
      <c r="AQ19" s="2">
        <v>2870621.5833333335</v>
      </c>
      <c r="AR19" s="2">
        <v>1658020400000000</v>
      </c>
      <c r="AS19" s="2">
        <v>1658020400000000</v>
      </c>
      <c r="AT19" s="2">
        <v>2995361833.3333335</v>
      </c>
      <c r="AU19" s="2">
        <v>2350941343300</v>
      </c>
      <c r="AV19" s="2">
        <v>1535607237100</v>
      </c>
      <c r="AW19" s="2">
        <v>1175250.75</v>
      </c>
      <c r="AX19" s="2">
        <v>1916451000000</v>
      </c>
      <c r="AY19" s="2">
        <v>1916451000000</v>
      </c>
      <c r="AZ19" s="2">
        <v>2371450.1666666665</v>
      </c>
      <c r="BA19" s="2">
        <v>18295019000000</v>
      </c>
      <c r="BB19" s="2">
        <v>18295019000000</v>
      </c>
      <c r="BC19" s="2">
        <v>12056500</v>
      </c>
    </row>
    <row r="20" spans="1:55" x14ac:dyDescent="0.2">
      <c r="A20" s="1">
        <v>2016</v>
      </c>
      <c r="B20" s="2">
        <v>8228159556500</v>
      </c>
      <c r="C20" s="2">
        <v>706477848600</v>
      </c>
      <c r="D20">
        <v>1954534119.5833333</v>
      </c>
      <c r="E20" s="2">
        <v>1658936000000</v>
      </c>
      <c r="F20" s="2">
        <v>2043680000000</v>
      </c>
      <c r="G20" s="2">
        <v>1895825</v>
      </c>
      <c r="H20" s="2">
        <v>6269328000000</v>
      </c>
      <c r="I20" s="2">
        <v>3977162043300</v>
      </c>
      <c r="J20">
        <v>5084635.416666667</v>
      </c>
      <c r="K20" s="2">
        <v>2025533000000</v>
      </c>
      <c r="L20" s="2">
        <v>2011113754000</v>
      </c>
      <c r="M20" s="2">
        <v>2099801.4166666665</v>
      </c>
      <c r="N20" s="2">
        <v>74639505948400</v>
      </c>
      <c r="O20" s="2">
        <v>81959255970800</v>
      </c>
      <c r="P20" s="2">
        <v>148361833.33333334</v>
      </c>
      <c r="Q20" s="2">
        <v>2234129000000</v>
      </c>
      <c r="R20" s="2">
        <v>2222515040000</v>
      </c>
      <c r="S20" s="2">
        <v>11143099.166666666</v>
      </c>
      <c r="T20" s="2">
        <v>3134740000000</v>
      </c>
      <c r="U20" s="2">
        <v>3093663810000</v>
      </c>
      <c r="V20" s="2">
        <v>11143099.166666666</v>
      </c>
      <c r="W20" s="2">
        <v>153916690148734</v>
      </c>
      <c r="X20" s="2">
        <v>123081932232684</v>
      </c>
      <c r="Y20" s="2">
        <v>119477500</v>
      </c>
      <c r="Z20" s="2">
        <v>1.24017285E+16</v>
      </c>
      <c r="AA20" s="2">
        <v>9434613400000000</v>
      </c>
      <c r="AB20" s="2">
        <v>4698476583.333333</v>
      </c>
      <c r="AC20" s="2">
        <v>1695786800000</v>
      </c>
      <c r="AD20" s="2">
        <v>1676766400000</v>
      </c>
      <c r="AE20" s="2">
        <v>11143099.166666666</v>
      </c>
      <c r="AF20" s="2">
        <v>544364600000000</v>
      </c>
      <c r="AG20" s="2">
        <v>542088131378999.88</v>
      </c>
      <c r="AH20">
        <v>1257339833.3333333</v>
      </c>
      <c r="AI20" s="2">
        <v>20758790506000</v>
      </c>
      <c r="AJ20" s="2">
        <v>23273490747000</v>
      </c>
      <c r="AK20" s="2">
        <v>10360261.666666666</v>
      </c>
      <c r="AL20" s="2">
        <v>85616100000000</v>
      </c>
      <c r="AM20" s="2">
        <v>85616100000000</v>
      </c>
      <c r="AN20" s="3">
        <v>50167.316666666673</v>
      </c>
      <c r="AO20" s="2">
        <v>4759554544700</v>
      </c>
      <c r="AP20" s="2">
        <v>4450170996100</v>
      </c>
      <c r="AQ20" s="2">
        <v>3056048.9166666665</v>
      </c>
      <c r="AR20" s="2">
        <v>1740779600000000</v>
      </c>
      <c r="AS20" s="2">
        <v>1706880300000000</v>
      </c>
      <c r="AT20" s="2">
        <v>3239991500</v>
      </c>
      <c r="AU20" s="2">
        <v>2626559709600</v>
      </c>
      <c r="AV20" s="2">
        <v>1586636758700</v>
      </c>
      <c r="AW20" s="2">
        <v>1321583.6666666667</v>
      </c>
      <c r="AX20" s="2">
        <v>1991645000000</v>
      </c>
      <c r="AY20" s="2">
        <v>1953267239000</v>
      </c>
      <c r="AZ20" s="2">
        <v>2533808.9166666665</v>
      </c>
      <c r="BA20" s="2">
        <v>18804913000000</v>
      </c>
      <c r="BB20" s="2">
        <v>18627887993000</v>
      </c>
      <c r="BC20" s="2">
        <v>12870991.666666666</v>
      </c>
    </row>
    <row r="21" spans="1:55" x14ac:dyDescent="0.2">
      <c r="A21" s="1">
        <v>2017</v>
      </c>
      <c r="B21" s="2">
        <v>10660228494800</v>
      </c>
      <c r="C21" s="2">
        <v>726389947800</v>
      </c>
      <c r="D21">
        <v>2678133102.25</v>
      </c>
      <c r="E21" s="2">
        <v>1759378000000</v>
      </c>
      <c r="F21" s="2">
        <v>2091067000000</v>
      </c>
      <c r="G21" s="2">
        <v>2023733.3333333333</v>
      </c>
      <c r="H21" s="2">
        <v>6585479000000</v>
      </c>
      <c r="I21" s="2">
        <v>4029774689200</v>
      </c>
      <c r="J21">
        <v>5572642.916666667</v>
      </c>
      <c r="K21" s="2">
        <v>2140641000000</v>
      </c>
      <c r="L21" s="2">
        <v>2072127625000</v>
      </c>
      <c r="M21" s="2">
        <v>2228972.75</v>
      </c>
      <c r="N21" s="2">
        <v>83203594856000</v>
      </c>
      <c r="O21" s="2">
        <v>87653130051800</v>
      </c>
      <c r="P21" s="2">
        <v>162645625</v>
      </c>
      <c r="Q21" s="2">
        <v>2297242000000</v>
      </c>
      <c r="R21" s="2">
        <v>2273442194000</v>
      </c>
      <c r="S21" s="2">
        <v>11670099.166666666</v>
      </c>
      <c r="T21" s="2">
        <v>3267160000000</v>
      </c>
      <c r="U21" s="2">
        <v>3176581150000</v>
      </c>
      <c r="V21" s="2">
        <v>11670099.166666666</v>
      </c>
      <c r="W21" s="2">
        <v>170900423611309</v>
      </c>
      <c r="X21" s="2">
        <v>131445821447391</v>
      </c>
      <c r="Y21" s="2">
        <v>128017500</v>
      </c>
      <c r="Z21" s="2">
        <v>1.35898257E+16</v>
      </c>
      <c r="AA21" s="2">
        <v>9912928100000000</v>
      </c>
      <c r="AB21" s="2">
        <v>5163295250</v>
      </c>
      <c r="AC21" s="2">
        <v>1736592800000</v>
      </c>
      <c r="AD21" s="2">
        <v>1704732500000</v>
      </c>
      <c r="AE21" s="2">
        <v>11670099.166666666</v>
      </c>
      <c r="AF21" s="2">
        <v>553073000000000</v>
      </c>
      <c r="AG21" s="2">
        <v>551169905965999.88</v>
      </c>
      <c r="AH21">
        <v>1299628333.3333333</v>
      </c>
      <c r="AI21" s="2">
        <v>22536210256000</v>
      </c>
      <c r="AJ21" s="2">
        <v>23709107314000</v>
      </c>
      <c r="AK21" s="2">
        <v>11133482.5</v>
      </c>
      <c r="AL21" s="2">
        <v>91843200000000</v>
      </c>
      <c r="AM21" s="2">
        <v>87179270247000</v>
      </c>
      <c r="AN21" s="3">
        <v>51531.608333333337</v>
      </c>
      <c r="AO21" s="2">
        <v>5078189924600</v>
      </c>
      <c r="AP21" s="2">
        <v>4501701615500</v>
      </c>
      <c r="AQ21" s="2">
        <v>3250859.4166666665</v>
      </c>
      <c r="AR21" s="2">
        <v>1835698200000000</v>
      </c>
      <c r="AS21" s="2">
        <v>1760811500000000</v>
      </c>
      <c r="AT21" s="2">
        <v>3456015916.6666665</v>
      </c>
      <c r="AU21" s="2">
        <v>3133704267400</v>
      </c>
      <c r="AV21" s="2">
        <v>1705666208500</v>
      </c>
      <c r="AW21" s="2">
        <v>1569524.5833333333</v>
      </c>
      <c r="AX21" s="2">
        <v>2082482000000</v>
      </c>
      <c r="AY21" s="2">
        <v>2005127845000</v>
      </c>
      <c r="AZ21" s="2">
        <v>2745034.8333333335</v>
      </c>
      <c r="BA21" s="2">
        <v>19612102000000</v>
      </c>
      <c r="BB21" s="2">
        <v>19085691123000</v>
      </c>
      <c r="BC21" s="2">
        <v>13596675</v>
      </c>
    </row>
    <row r="22" spans="1:55" x14ac:dyDescent="0.2">
      <c r="A22" s="1">
        <v>2018</v>
      </c>
      <c r="B22" s="2">
        <v>14744810677300</v>
      </c>
      <c r="C22" s="2">
        <v>707377443000</v>
      </c>
      <c r="D22">
        <v>3915718009.8333335</v>
      </c>
      <c r="E22" s="2">
        <v>1844528000000</v>
      </c>
      <c r="F22" s="2">
        <v>2151841000000</v>
      </c>
      <c r="G22" s="2">
        <v>2076808.3333333333</v>
      </c>
      <c r="H22" s="2">
        <v>7004141000000</v>
      </c>
      <c r="I22" s="2">
        <v>4101652440900</v>
      </c>
      <c r="J22">
        <v>5986420</v>
      </c>
      <c r="K22" s="2">
        <v>2235672000000</v>
      </c>
      <c r="L22" s="2">
        <v>2128965328000</v>
      </c>
      <c r="M22" s="2">
        <v>2339646.25</v>
      </c>
      <c r="N22" s="2">
        <v>91928112906700</v>
      </c>
      <c r="O22" s="2">
        <v>93569518087400</v>
      </c>
      <c r="P22" s="2">
        <v>177022358.33333334</v>
      </c>
      <c r="Q22" s="2">
        <v>2363306000000</v>
      </c>
      <c r="R22" s="2">
        <v>2315843393000</v>
      </c>
      <c r="S22" s="2">
        <v>12116858.333333334</v>
      </c>
      <c r="T22" s="2">
        <v>3365450000000</v>
      </c>
      <c r="U22" s="2">
        <v>3207750800000</v>
      </c>
      <c r="V22" s="2">
        <v>12116858.333333334</v>
      </c>
      <c r="W22" s="2">
        <v>188996684445858</v>
      </c>
      <c r="X22" s="2">
        <v>139929139362789</v>
      </c>
      <c r="Y22" s="2">
        <v>140863333.33333334</v>
      </c>
      <c r="Z22" s="2">
        <v>1.4838756E+16</v>
      </c>
      <c r="AA22" s="2">
        <v>1.04258519E+16</v>
      </c>
      <c r="AB22" s="2">
        <v>5518336666.666667</v>
      </c>
      <c r="AC22" s="2">
        <v>1771391200000</v>
      </c>
      <c r="AD22" s="2">
        <v>1720515100000</v>
      </c>
      <c r="AE22" s="2">
        <v>12116858.333333334</v>
      </c>
      <c r="AF22" s="2">
        <v>556630100000000</v>
      </c>
      <c r="AG22" s="2">
        <v>554716083664999.88</v>
      </c>
      <c r="AH22">
        <v>1332501583.3333333</v>
      </c>
      <c r="AI22" s="2">
        <v>24176670374000</v>
      </c>
      <c r="AJ22" s="2">
        <v>24176670374000</v>
      </c>
      <c r="AK22" s="2">
        <v>11885304.166666666</v>
      </c>
      <c r="AL22" s="2">
        <v>103861700000000</v>
      </c>
      <c r="AM22" s="2">
        <v>89626606310000</v>
      </c>
      <c r="AN22" s="3">
        <v>56337.708333333336</v>
      </c>
      <c r="AO22" s="2">
        <v>5363190430700</v>
      </c>
      <c r="AP22" s="2">
        <v>4571783379100</v>
      </c>
      <c r="AQ22" s="2">
        <v>3451856</v>
      </c>
      <c r="AR22" s="2">
        <v>1898192600000000</v>
      </c>
      <c r="AS22" s="2">
        <v>1812005400000000</v>
      </c>
      <c r="AT22" s="2">
        <v>3698462583.3333335</v>
      </c>
      <c r="AU22" s="2">
        <v>3761166000000</v>
      </c>
      <c r="AV22" s="2">
        <v>1757061000000</v>
      </c>
      <c r="AW22" s="2">
        <v>1880900.5833333333</v>
      </c>
      <c r="AX22" s="2">
        <v>2152304000000</v>
      </c>
      <c r="AY22" s="2">
        <v>2033275671000</v>
      </c>
      <c r="AZ22" s="2">
        <v>2840403.0833333335</v>
      </c>
      <c r="BA22" s="2">
        <v>20656516000000</v>
      </c>
      <c r="BB22" s="2">
        <v>19651869118000</v>
      </c>
      <c r="BC22" s="2">
        <v>14114891.666666666</v>
      </c>
    </row>
    <row r="23" spans="1:55" x14ac:dyDescent="0.2">
      <c r="A23" s="1">
        <v>2019</v>
      </c>
      <c r="B23" s="2">
        <v>21558444149200</v>
      </c>
      <c r="C23" s="2">
        <v>693223803600</v>
      </c>
      <c r="D23">
        <v>5202314511.916667</v>
      </c>
      <c r="E23" s="2">
        <v>1950042000000</v>
      </c>
      <c r="F23" s="2">
        <v>2198775000000</v>
      </c>
      <c r="G23" s="2">
        <v>2139341.6666666665</v>
      </c>
      <c r="H23" s="2">
        <v>7389131000000</v>
      </c>
      <c r="I23" s="2">
        <v>4151724504300</v>
      </c>
      <c r="J23">
        <v>6494007.166666667</v>
      </c>
      <c r="K23" s="2">
        <v>2313563000000</v>
      </c>
      <c r="L23" s="2">
        <v>2169595182000</v>
      </c>
      <c r="M23" s="2">
        <v>2520473.5</v>
      </c>
      <c r="N23" s="2">
        <v>98651520229200</v>
      </c>
      <c r="O23" s="2">
        <v>99137372966400</v>
      </c>
      <c r="P23" s="2">
        <v>191838591.66666666</v>
      </c>
      <c r="Q23" s="2">
        <v>2437635000000</v>
      </c>
      <c r="R23" s="2">
        <v>2358523734000</v>
      </c>
      <c r="S23" s="2">
        <v>12745501.666666666</v>
      </c>
      <c r="T23" s="2">
        <v>3474110000000</v>
      </c>
      <c r="U23" s="2">
        <v>3242249250000</v>
      </c>
      <c r="V23" s="2">
        <v>12745501.666666666</v>
      </c>
      <c r="W23" s="2">
        <v>201035928565946</v>
      </c>
      <c r="X23" s="2">
        <v>145346407754897</v>
      </c>
      <c r="Y23" s="2">
        <v>155308333.33333334</v>
      </c>
      <c r="Z23" s="2">
        <v>1.58326572E+16</v>
      </c>
      <c r="AA23" s="2">
        <v>1.09491554E+16</v>
      </c>
      <c r="AB23" s="2">
        <v>5891399416.666667</v>
      </c>
      <c r="AC23" s="2">
        <v>1796648500000</v>
      </c>
      <c r="AD23" s="2">
        <v>1728828600000</v>
      </c>
      <c r="AE23" s="2">
        <v>12745501.666666666</v>
      </c>
      <c r="AF23" s="2">
        <v>557910800000000</v>
      </c>
      <c r="AG23" s="2">
        <v>552485186424000</v>
      </c>
      <c r="AH23">
        <v>1359445666.6666667</v>
      </c>
      <c r="AI23" s="2">
        <v>25143108308000</v>
      </c>
      <c r="AJ23" s="2">
        <v>24115905757000</v>
      </c>
      <c r="AK23" s="2">
        <v>12670259.166666666</v>
      </c>
      <c r="AL23" s="2">
        <v>109608300000000</v>
      </c>
      <c r="AM23" s="2">
        <v>91596666976000</v>
      </c>
      <c r="AN23" s="3">
        <v>61110.316666666673</v>
      </c>
      <c r="AO23" s="2">
        <v>5625206549500</v>
      </c>
      <c r="AP23" s="2">
        <v>4583667070600</v>
      </c>
      <c r="AQ23" s="2">
        <v>3701383.5833333335</v>
      </c>
      <c r="AR23" s="2">
        <v>1924498100000000</v>
      </c>
      <c r="AS23" s="2">
        <v>1852666400000000</v>
      </c>
      <c r="AT23" s="2">
        <v>3992223666.6666665</v>
      </c>
      <c r="AU23" s="2">
        <v>4317810000000</v>
      </c>
      <c r="AV23" s="2">
        <v>1771443000000</v>
      </c>
      <c r="AW23" s="2">
        <v>2283581.9166666665</v>
      </c>
      <c r="AX23" s="2">
        <v>2233921000000</v>
      </c>
      <c r="AY23" s="2">
        <v>2066654148000</v>
      </c>
      <c r="AZ23" s="2">
        <v>2874266.75</v>
      </c>
      <c r="BA23" s="2">
        <v>21521395000000</v>
      </c>
      <c r="BB23" s="2">
        <v>20136688111000</v>
      </c>
      <c r="BC23" s="2">
        <v>14835933.333333334</v>
      </c>
    </row>
    <row r="24" spans="1:55" x14ac:dyDescent="0.2">
      <c r="A24" s="1">
        <v>2020</v>
      </c>
      <c r="B24" s="2">
        <v>27209814143300</v>
      </c>
      <c r="C24" s="2">
        <v>624591286200</v>
      </c>
      <c r="D24">
        <v>7843220895.583333</v>
      </c>
      <c r="E24" s="2">
        <v>1984598000000</v>
      </c>
      <c r="F24" s="2">
        <v>2191416000000</v>
      </c>
      <c r="G24" s="2">
        <v>2327175</v>
      </c>
      <c r="H24" s="2">
        <v>7609597000000</v>
      </c>
      <c r="I24" s="2">
        <v>4015682506400</v>
      </c>
      <c r="J24">
        <v>7394425.916666667</v>
      </c>
      <c r="K24" s="2">
        <v>2220526000000</v>
      </c>
      <c r="L24" s="2">
        <v>2060285912000</v>
      </c>
      <c r="M24" s="2">
        <v>2845542.5</v>
      </c>
      <c r="N24" s="2">
        <v>101356700223100</v>
      </c>
      <c r="O24" s="2">
        <v>101356700223100</v>
      </c>
      <c r="P24" s="2">
        <v>211653216.66666666</v>
      </c>
      <c r="Q24" s="2">
        <v>2317832000000</v>
      </c>
      <c r="R24" s="2">
        <v>2180680215000</v>
      </c>
      <c r="S24" s="2">
        <v>13856993.333333334</v>
      </c>
      <c r="T24" s="2">
        <v>3403730000000</v>
      </c>
      <c r="U24" s="2">
        <v>3118175870000</v>
      </c>
      <c r="V24" s="2">
        <v>13856993.333333334</v>
      </c>
      <c r="W24" s="2">
        <v>198540960064970</v>
      </c>
      <c r="X24" s="2">
        <v>136948692443488</v>
      </c>
      <c r="Y24" s="2">
        <v>173390833.33333334</v>
      </c>
      <c r="Z24" s="2">
        <v>1.54433532E+16</v>
      </c>
      <c r="AA24" s="2">
        <v>1.07229993E+16</v>
      </c>
      <c r="AB24" s="2">
        <v>6521449500</v>
      </c>
      <c r="AC24" s="2">
        <v>1661239800000</v>
      </c>
      <c r="AD24" s="2">
        <v>1573680200000</v>
      </c>
      <c r="AE24" s="2">
        <v>13856993.333333334</v>
      </c>
      <c r="AF24" s="2">
        <v>539808200000000</v>
      </c>
      <c r="AG24" s="2">
        <v>529572968841000</v>
      </c>
      <c r="AH24">
        <v>1432408000</v>
      </c>
      <c r="AI24" s="2">
        <v>24081765848000</v>
      </c>
      <c r="AJ24" s="2">
        <v>22036016025000</v>
      </c>
      <c r="AK24" s="2">
        <v>13840431.666666666</v>
      </c>
      <c r="AL24" s="2">
        <v>107658100000000</v>
      </c>
      <c r="AM24" s="2">
        <v>89166007900000</v>
      </c>
      <c r="AN24" s="3">
        <v>68731.766666666663</v>
      </c>
      <c r="AO24" s="2">
        <v>5567973607800</v>
      </c>
      <c r="AP24" s="2">
        <v>4310326585200</v>
      </c>
      <c r="AQ24" s="2">
        <v>4055090.4166666665</v>
      </c>
      <c r="AR24" s="2">
        <v>1940726200000000</v>
      </c>
      <c r="AS24" s="2">
        <v>1839523300000000</v>
      </c>
      <c r="AT24" s="2">
        <v>4322200000</v>
      </c>
      <c r="AU24" s="2">
        <v>5048568000000</v>
      </c>
      <c r="AV24" s="2">
        <v>1804389000000</v>
      </c>
      <c r="AW24" s="2">
        <v>3133409.3333333335</v>
      </c>
      <c r="AX24" s="2">
        <v>2104288000000</v>
      </c>
      <c r="AY24" s="2">
        <v>1852550828000</v>
      </c>
      <c r="AZ24" s="2">
        <v>3135438.6666666665</v>
      </c>
      <c r="BA24" s="2">
        <v>21322950000000</v>
      </c>
      <c r="BB24" s="2">
        <v>19690968695000</v>
      </c>
      <c r="BC24" s="2">
        <v>17664908.333333332</v>
      </c>
    </row>
    <row r="25" spans="1:55" x14ac:dyDescent="0.2">
      <c r="A25" s="1">
        <v>2021</v>
      </c>
      <c r="B25" s="2">
        <v>46346227353600</v>
      </c>
      <c r="C25" s="2">
        <v>691535042300</v>
      </c>
      <c r="D25">
        <v>11733468891.166666</v>
      </c>
      <c r="E25" s="2">
        <v>2088901000000</v>
      </c>
      <c r="F25" s="2">
        <v>2237695000000</v>
      </c>
      <c r="G25" s="2">
        <v>2530391.6666666665</v>
      </c>
      <c r="H25" s="2">
        <v>9012142000000</v>
      </c>
      <c r="I25" s="2">
        <v>4206933577300</v>
      </c>
      <c r="J25">
        <v>8365162.083333333</v>
      </c>
      <c r="K25" s="2">
        <v>2517123000000</v>
      </c>
      <c r="L25" s="2">
        <v>2169212340000</v>
      </c>
      <c r="M25" s="2">
        <v>3045689.0833333335</v>
      </c>
      <c r="N25" s="2">
        <v>114923697861100</v>
      </c>
      <c r="O25" s="2">
        <v>109919790043400</v>
      </c>
      <c r="P25" s="2">
        <v>230111025</v>
      </c>
      <c r="Q25" s="2">
        <v>2502118000000</v>
      </c>
      <c r="R25" s="2">
        <v>2321011558000</v>
      </c>
      <c r="S25" s="2">
        <v>15046156.666666666</v>
      </c>
      <c r="T25" s="2">
        <v>3617450000000</v>
      </c>
      <c r="U25" s="2">
        <v>3216829340000</v>
      </c>
      <c r="V25" s="2">
        <v>15046156.666666666</v>
      </c>
      <c r="W25" s="2">
        <v>235973985282904</v>
      </c>
      <c r="X25" s="2">
        <v>150218462664264</v>
      </c>
      <c r="Y25" s="2">
        <v>191915833.33333334</v>
      </c>
      <c r="Z25" s="2">
        <v>1.69767514E+16</v>
      </c>
      <c r="AA25" s="2">
        <v>1.11200597E+16</v>
      </c>
      <c r="AB25" s="2">
        <v>7182313250</v>
      </c>
      <c r="AC25" s="2">
        <v>1821934600000</v>
      </c>
      <c r="AD25" s="2">
        <v>1704456800000</v>
      </c>
      <c r="AE25" s="2">
        <v>15046156.666666666</v>
      </c>
      <c r="AF25" s="2">
        <v>552571400000000</v>
      </c>
      <c r="AG25" s="2">
        <v>543126437011000.12</v>
      </c>
      <c r="AH25">
        <v>1511654166.6666667</v>
      </c>
      <c r="AI25" s="2">
        <v>26619085988000</v>
      </c>
      <c r="AJ25" s="2">
        <v>23300708894000</v>
      </c>
      <c r="AK25" s="2">
        <v>14734065.833333334</v>
      </c>
      <c r="AL25" s="2">
        <v>135773769020400</v>
      </c>
      <c r="AM25" s="2">
        <v>94172046500000</v>
      </c>
      <c r="AN25" s="3">
        <v>76634.883333333331</v>
      </c>
      <c r="AO25" s="2">
        <v>6208785872500</v>
      </c>
      <c r="AP25" s="2">
        <v>4513043919700</v>
      </c>
      <c r="AQ25" s="2">
        <v>4213989.75</v>
      </c>
      <c r="AR25" s="2">
        <v>2080198500000000</v>
      </c>
      <c r="AS25" s="2">
        <v>1918709900000000</v>
      </c>
      <c r="AT25" s="2">
        <v>4721886333.333333</v>
      </c>
      <c r="AU25" s="2">
        <v>7256142000000</v>
      </c>
      <c r="AV25" s="2">
        <v>2010800000000</v>
      </c>
      <c r="AW25" s="2">
        <v>4039115.4166666665</v>
      </c>
      <c r="AX25" s="2">
        <v>2284079000000</v>
      </c>
      <c r="AY25" s="2">
        <v>2013257836000</v>
      </c>
      <c r="AZ25" s="2">
        <v>3379933.5833333335</v>
      </c>
      <c r="BA25" s="2">
        <v>23594031000000</v>
      </c>
      <c r="BB25" s="2">
        <v>20833085468000</v>
      </c>
      <c r="BC25" s="2">
        <v>20511925</v>
      </c>
    </row>
    <row r="26" spans="1:55" x14ac:dyDescent="0.2">
      <c r="A26" s="1">
        <v>2022</v>
      </c>
      <c r="B26" s="2">
        <v>82436433708700</v>
      </c>
      <c r="C26" s="2">
        <v>725810077400</v>
      </c>
      <c r="D26">
        <v>19207284862</v>
      </c>
      <c r="E26" s="2">
        <v>2333221000000</v>
      </c>
      <c r="F26" s="2">
        <v>2333221000000</v>
      </c>
      <c r="G26" s="2">
        <v>2745700</v>
      </c>
      <c r="H26" s="2">
        <v>10079676679200</v>
      </c>
      <c r="I26" s="2">
        <v>4333843905000</v>
      </c>
      <c r="J26">
        <v>9264088.416666666</v>
      </c>
      <c r="K26" s="2">
        <v>2813289000000</v>
      </c>
      <c r="L26" s="2">
        <v>2252073352000</v>
      </c>
      <c r="M26" s="2">
        <v>3304383.9166666665</v>
      </c>
      <c r="N26" s="2">
        <v>120472400000000</v>
      </c>
      <c r="O26" s="2">
        <v>113205384995100</v>
      </c>
      <c r="P26" s="2">
        <v>255853166.66666666</v>
      </c>
      <c r="Q26" s="2">
        <v>2639092000000</v>
      </c>
      <c r="R26" s="2">
        <v>2377986779000</v>
      </c>
      <c r="S26" s="2">
        <v>15934437.5</v>
      </c>
      <c r="T26" s="2">
        <v>3876810000000</v>
      </c>
      <c r="U26" s="2">
        <v>3274932000000</v>
      </c>
      <c r="V26" s="2">
        <v>15934437.5</v>
      </c>
      <c r="W26" s="2">
        <v>269496458602969</v>
      </c>
      <c r="X26" s="2">
        <v>160714285725169</v>
      </c>
      <c r="Y26" s="2">
        <v>208667500</v>
      </c>
      <c r="Z26" s="2">
        <v>1.95880899E+16</v>
      </c>
      <c r="AA26" s="2">
        <v>1.17102479E+16</v>
      </c>
      <c r="AB26" s="2">
        <v>7963215916.666667</v>
      </c>
      <c r="AC26" s="2">
        <v>1962845800000</v>
      </c>
      <c r="AD26" s="2">
        <v>1772394700000</v>
      </c>
      <c r="AE26" s="2">
        <v>15934437.5</v>
      </c>
      <c r="AF26" s="2">
        <v>559710100000000</v>
      </c>
      <c r="AG26" s="2">
        <v>548311865724000</v>
      </c>
      <c r="AH26">
        <v>1555806166.6666667</v>
      </c>
      <c r="AI26" s="2">
        <v>29452832078000</v>
      </c>
      <c r="AJ26" s="2">
        <v>24220853888000</v>
      </c>
      <c r="AK26" s="2">
        <v>15637571.666666666</v>
      </c>
      <c r="AL26" s="2">
        <v>155188881115900</v>
      </c>
      <c r="AM26" s="2">
        <v>92222956800000</v>
      </c>
      <c r="AN26" s="3">
        <v>84701.891666666663</v>
      </c>
      <c r="AO26" s="2">
        <v>6628550449400</v>
      </c>
      <c r="AP26" s="2">
        <v>4599261389200</v>
      </c>
      <c r="AQ26" s="2">
        <v>4550811.833333333</v>
      </c>
      <c r="AR26" s="2">
        <v>2161773900000000</v>
      </c>
      <c r="AS26" s="2">
        <v>1968839500000000</v>
      </c>
      <c r="AT26" s="2">
        <v>5039222916.666667</v>
      </c>
      <c r="AU26" s="2">
        <v>15011776000000</v>
      </c>
      <c r="AV26" s="2">
        <v>2122067000000</v>
      </c>
      <c r="AW26" s="2">
        <v>6811785.75</v>
      </c>
      <c r="AX26" s="2">
        <v>2505981000000</v>
      </c>
      <c r="AY26" s="2">
        <v>2100738496000</v>
      </c>
      <c r="AZ26" s="2">
        <v>3578303.4166666665</v>
      </c>
      <c r="BA26" s="2">
        <v>25744108000000</v>
      </c>
      <c r="BB26" s="2">
        <v>21236308982000</v>
      </c>
      <c r="BC26" s="2">
        <v>21568166.666666668</v>
      </c>
    </row>
    <row r="27" spans="1:55" x14ac:dyDescent="0.2">
      <c r="A27" s="1">
        <v>2023</v>
      </c>
      <c r="B27" s="2">
        <v>189780357045300</v>
      </c>
      <c r="C27" s="2">
        <v>714556381000</v>
      </c>
      <c r="D27">
        <v>40121857202.916664</v>
      </c>
      <c r="E27" s="2">
        <v>2561228000000</v>
      </c>
      <c r="F27" s="2">
        <v>2403614000000</v>
      </c>
      <c r="G27" s="2">
        <v>2891291.6666666665</v>
      </c>
      <c r="H27" s="2">
        <v>10856112278700</v>
      </c>
      <c r="I27" s="2">
        <v>4459892909300</v>
      </c>
      <c r="J27">
        <v>10259294.416666666</v>
      </c>
      <c r="K27" s="2">
        <v>2888920000000</v>
      </c>
      <c r="L27" s="2">
        <v>2276080329000</v>
      </c>
      <c r="M27" s="2">
        <v>3499829.5833333335</v>
      </c>
      <c r="N27" s="2">
        <v>126058200000000</v>
      </c>
      <c r="O27" s="2">
        <v>119092065014700</v>
      </c>
      <c r="P27" s="2">
        <v>284557683.33333331</v>
      </c>
      <c r="Q27" s="2">
        <v>2803100000000</v>
      </c>
      <c r="R27" s="2">
        <v>2394721113000</v>
      </c>
      <c r="S27" s="2">
        <v>16013464.166666666</v>
      </c>
      <c r="T27" s="2">
        <v>4121160000000</v>
      </c>
      <c r="U27" s="2">
        <v>3264945600000</v>
      </c>
      <c r="V27" s="2">
        <v>16013464.166666666</v>
      </c>
      <c r="W27" s="2">
        <v>293896858569649</v>
      </c>
      <c r="X27" s="2">
        <v>172902810747248</v>
      </c>
      <c r="Y27" s="2">
        <v>230685833.33333334</v>
      </c>
      <c r="Z27" s="2">
        <v>2.08923767E+16</v>
      </c>
      <c r="AA27" s="2">
        <v>1.23013936E+16</v>
      </c>
      <c r="AB27" s="2">
        <v>8415894916.666667</v>
      </c>
      <c r="AC27" s="2">
        <v>2085375600000</v>
      </c>
      <c r="AD27" s="2">
        <v>1788713000000</v>
      </c>
      <c r="AE27" s="2">
        <v>16013464.166666666</v>
      </c>
      <c r="AF27" s="2">
        <v>591881300000000</v>
      </c>
      <c r="AG27" s="2">
        <v>558856207383000</v>
      </c>
      <c r="AH27">
        <v>1586416833.3333333</v>
      </c>
      <c r="AI27" s="2">
        <v>31768334800000</v>
      </c>
      <c r="AJ27" s="2">
        <v>25002881500000</v>
      </c>
      <c r="AK27" s="2">
        <v>17018845.833333332</v>
      </c>
      <c r="AL27" s="2">
        <v>172148311913500</v>
      </c>
      <c r="AM27" s="2">
        <v>95542983244800</v>
      </c>
      <c r="AN27" s="3">
        <v>100763.625</v>
      </c>
      <c r="AO27" s="2">
        <v>6970162716900</v>
      </c>
      <c r="AP27" s="2">
        <v>4626933411200</v>
      </c>
      <c r="AQ27" s="2">
        <v>4949586.166666667</v>
      </c>
      <c r="AR27" s="2">
        <v>2236329400000000</v>
      </c>
      <c r="AS27" s="2">
        <v>1995551400000000</v>
      </c>
      <c r="AT27" s="2">
        <v>5184317583.333333</v>
      </c>
      <c r="AU27" s="2">
        <v>26276307372900</v>
      </c>
      <c r="AV27" s="2">
        <v>2217917933600</v>
      </c>
      <c r="AW27" s="2">
        <v>11113552</v>
      </c>
      <c r="AX27" s="2">
        <v>2687186000000</v>
      </c>
      <c r="AY27" s="2">
        <v>2102923639000</v>
      </c>
      <c r="AZ27" s="2">
        <v>3547821.5833333335</v>
      </c>
      <c r="BA27" s="2">
        <v>27360935000000</v>
      </c>
      <c r="BB27" s="2">
        <v>21776284673936.199</v>
      </c>
      <c r="BC27" s="2">
        <v>20822933.333333332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ArticleData</vt:lpstr>
      <vt:lpstr>PercentageChange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Orkun Apaydın</dc:creator>
  <cp:lastModifiedBy>Hakan Emekci</cp:lastModifiedBy>
  <dcterms:created xsi:type="dcterms:W3CDTF">2025-03-10T12:53:42Z</dcterms:created>
  <dcterms:modified xsi:type="dcterms:W3CDTF">2025-12-04T15:57:09Z</dcterms:modified>
</cp:coreProperties>
</file>